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mh\OneDrive\Documents\Desktop\Ball\Analysis\"/>
    </mc:Choice>
  </mc:AlternateContent>
  <xr:revisionPtr revIDLastSave="0" documentId="13_ncr:1_{F1DE2529-F2F8-48B5-87F3-1B8D37CE747D}" xr6:coauthVersionLast="47" xr6:coauthVersionMax="47" xr10:uidLastSave="{00000000-0000-0000-0000-000000000000}"/>
  <bookViews>
    <workbookView xWindow="14295" yWindow="0" windowWidth="14610" windowHeight="15585" xr2:uid="{C6FB7314-3CCA-416C-BC3C-8BF203C04937}"/>
  </bookViews>
  <sheets>
    <sheet name="Master Sheet" sheetId="1" r:id="rId1"/>
    <sheet name="Player Err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9" i="1" l="1"/>
  <c r="G150" i="1"/>
  <c r="G151" i="1"/>
  <c r="G152" i="1"/>
  <c r="G153" i="1"/>
  <c r="G154" i="1"/>
  <c r="G155" i="1"/>
  <c r="G156" i="1"/>
  <c r="G148" i="1"/>
  <c r="C158" i="1"/>
  <c r="G136" i="1"/>
  <c r="G137" i="1"/>
  <c r="G138" i="1"/>
  <c r="G139" i="1"/>
  <c r="G140" i="1"/>
  <c r="G141" i="1"/>
  <c r="G142" i="1"/>
  <c r="G143" i="1"/>
  <c r="G135" i="1"/>
  <c r="C145" i="1"/>
  <c r="G123" i="1"/>
  <c r="G124" i="1"/>
  <c r="G125" i="1"/>
  <c r="G126" i="1"/>
  <c r="G127" i="1"/>
  <c r="G128" i="1"/>
  <c r="G129" i="1"/>
  <c r="G130" i="1"/>
  <c r="G122" i="1"/>
  <c r="C132" i="1"/>
  <c r="G111" i="1"/>
  <c r="G112" i="1"/>
  <c r="G113" i="1"/>
  <c r="G114" i="1"/>
  <c r="G115" i="1"/>
  <c r="G116" i="1"/>
  <c r="G117" i="1"/>
  <c r="G118" i="1"/>
  <c r="G110" i="1"/>
  <c r="C120" i="1"/>
  <c r="G99" i="1"/>
  <c r="G100" i="1"/>
  <c r="G101" i="1"/>
  <c r="G102" i="1"/>
  <c r="G103" i="1"/>
  <c r="G104" i="1"/>
  <c r="G105" i="1"/>
  <c r="G106" i="1"/>
  <c r="G98" i="1"/>
  <c r="C108" i="1"/>
  <c r="G85" i="1"/>
  <c r="G86" i="1"/>
  <c r="G87" i="1"/>
  <c r="G88" i="1"/>
  <c r="G89" i="1"/>
  <c r="G90" i="1"/>
  <c r="G91" i="1"/>
  <c r="G92" i="1"/>
  <c r="G84" i="1"/>
  <c r="C94" i="1"/>
  <c r="G72" i="1"/>
  <c r="G73" i="1"/>
  <c r="G74" i="1"/>
  <c r="G75" i="1"/>
  <c r="G76" i="1"/>
  <c r="G77" i="1"/>
  <c r="G78" i="1"/>
  <c r="G79" i="1"/>
  <c r="G71" i="1"/>
  <c r="C81" i="1"/>
  <c r="G59" i="1"/>
  <c r="G60" i="1"/>
  <c r="G61" i="1"/>
  <c r="G62" i="1"/>
  <c r="G63" i="1"/>
  <c r="G64" i="1"/>
  <c r="G65" i="1"/>
  <c r="G66" i="1"/>
  <c r="G58" i="1"/>
  <c r="C68" i="1"/>
  <c r="G47" i="1"/>
  <c r="G48" i="1"/>
  <c r="G49" i="1"/>
  <c r="G50" i="1"/>
  <c r="G51" i="1"/>
  <c r="G52" i="1"/>
  <c r="G53" i="1"/>
  <c r="G54" i="1"/>
  <c r="G46" i="1"/>
  <c r="C56" i="1"/>
  <c r="G33" i="1"/>
  <c r="G34" i="1"/>
  <c r="G35" i="1"/>
  <c r="G36" i="1"/>
  <c r="G37" i="1"/>
  <c r="G38" i="1"/>
  <c r="G39" i="1"/>
  <c r="G40" i="1"/>
  <c r="G32" i="1"/>
  <c r="C42" i="1"/>
  <c r="C27" i="1"/>
  <c r="G19" i="1" s="1"/>
  <c r="C14" i="1"/>
  <c r="G10" i="1" s="1"/>
  <c r="G4" i="1" l="1"/>
  <c r="G9" i="1"/>
  <c r="G7" i="1"/>
  <c r="G18" i="1"/>
  <c r="G8" i="1"/>
  <c r="G24" i="1"/>
  <c r="G6" i="1"/>
  <c r="G23" i="1"/>
  <c r="G22" i="1"/>
  <c r="G5" i="1"/>
  <c r="G21" i="1"/>
  <c r="G26" i="1"/>
  <c r="G25" i="1"/>
  <c r="G12" i="1"/>
  <c r="G11" i="1"/>
  <c r="G20" i="1"/>
</calcChain>
</file>

<file path=xl/sharedStrings.xml><?xml version="1.0" encoding="utf-8"?>
<sst xmlns="http://schemas.openxmlformats.org/spreadsheetml/2006/main" count="208" uniqueCount="64">
  <si>
    <t>Experience</t>
  </si>
  <si>
    <t>Team</t>
  </si>
  <si>
    <t>Season</t>
  </si>
  <si>
    <t>Arsenal</t>
  </si>
  <si>
    <t>Everton</t>
  </si>
  <si>
    <t>Liverpool</t>
  </si>
  <si>
    <t>Manchester United</t>
  </si>
  <si>
    <t>Tottenham</t>
  </si>
  <si>
    <t>Chelsea</t>
  </si>
  <si>
    <t>Crystal Palace</t>
  </si>
  <si>
    <t>West Ham</t>
  </si>
  <si>
    <t>Manchester City</t>
  </si>
  <si>
    <t>2013-2014</t>
  </si>
  <si>
    <t>2014-2015</t>
  </si>
  <si>
    <t>2015-2016</t>
  </si>
  <si>
    <t>2016-2017</t>
  </si>
  <si>
    <t>2017-2018</t>
  </si>
  <si>
    <t>2018-2019</t>
  </si>
  <si>
    <t>2020-2021</t>
  </si>
  <si>
    <t>2021-2022</t>
  </si>
  <si>
    <t>2019-2020</t>
  </si>
  <si>
    <t>2022-2023</t>
  </si>
  <si>
    <t>2023-2024</t>
  </si>
  <si>
    <t>2024-2025</t>
  </si>
  <si>
    <t>Sylvain Distin</t>
  </si>
  <si>
    <t>Matches With API</t>
  </si>
  <si>
    <t xml:space="preserve">Garreth Barry </t>
  </si>
  <si>
    <t>Mistake With API</t>
  </si>
  <si>
    <t>13/14 Season</t>
  </si>
  <si>
    <t>14/15 Season</t>
  </si>
  <si>
    <t>15/16 Season</t>
  </si>
  <si>
    <t>16/17 Season</t>
  </si>
  <si>
    <t>Apps</t>
  </si>
  <si>
    <t>Samuel Eto</t>
  </si>
  <si>
    <t>278 (La Liga)+ 85 (Serie A) + 21(Premier League)</t>
  </si>
  <si>
    <t xml:space="preserve"> </t>
  </si>
  <si>
    <t>(2894/20)</t>
  </si>
  <si>
    <t>(4065/24)</t>
  </si>
  <si>
    <t>(3511/24)</t>
  </si>
  <si>
    <t>(3637/25)</t>
  </si>
  <si>
    <t>Steven Gerrard</t>
  </si>
  <si>
    <t>(2650/21)</t>
  </si>
  <si>
    <t>(2853/22)</t>
  </si>
  <si>
    <t>Man Utd</t>
  </si>
  <si>
    <t>Ryan Giggs</t>
  </si>
  <si>
    <t>Michael Carrick</t>
  </si>
  <si>
    <t>Rio Ferdinad</t>
  </si>
  <si>
    <t>(4454/24)</t>
  </si>
  <si>
    <t>(3162/23)</t>
  </si>
  <si>
    <t>(3195/24)</t>
  </si>
  <si>
    <t>(3725/21)</t>
  </si>
  <si>
    <t>John Terry</t>
  </si>
  <si>
    <t>Ashley Cole</t>
  </si>
  <si>
    <t>Frank Lampard</t>
  </si>
  <si>
    <t>Samuel Eto'o</t>
  </si>
  <si>
    <t xml:space="preserve">278 (La Liga)+ 67 (Serie A) </t>
  </si>
  <si>
    <t>(4230/21)</t>
  </si>
  <si>
    <t>(3734/20)</t>
  </si>
  <si>
    <t>Joe Cole</t>
  </si>
  <si>
    <t>346(Premier League) +32(Ligue 1)</t>
  </si>
  <si>
    <t>(3899/24)</t>
  </si>
  <si>
    <t>Man City</t>
  </si>
  <si>
    <t>(4770/25)</t>
  </si>
  <si>
    <t>9 Team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</si>
</sst>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4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ill>
        <patternFill>
          <bgColor rgb="FFFF4747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EFA8-3B88-4FD9-9604-AF872FBD37E2}">
  <dimension ref="B3:G158"/>
  <sheetViews>
    <sheetView tabSelected="1" topLeftCell="A127" workbookViewId="0">
      <selection activeCell="G148" sqref="G148:G156"/>
    </sheetView>
  </sheetViews>
  <sheetFormatPr defaultRowHeight="15" x14ac:dyDescent="0.25"/>
  <cols>
    <col min="2" max="2" width="14.7109375" bestFit="1" customWidth="1"/>
    <col min="3" max="3" width="21.28515625" style="5" customWidth="1"/>
    <col min="4" max="4" width="17.7109375" bestFit="1" customWidth="1"/>
  </cols>
  <sheetData>
    <row r="3" spans="2:7" x14ac:dyDescent="0.25">
      <c r="B3" t="s">
        <v>2</v>
      </c>
      <c r="C3" s="5" t="s">
        <v>0</v>
      </c>
      <c r="D3" s="1" t="s">
        <v>1</v>
      </c>
    </row>
    <row r="4" spans="2:7" x14ac:dyDescent="0.25">
      <c r="B4" t="s">
        <v>12</v>
      </c>
      <c r="C4" s="2">
        <v>148.54545454545399</v>
      </c>
      <c r="D4" t="s">
        <v>3</v>
      </c>
      <c r="G4">
        <f>C4/$C$14</f>
        <v>1.0308615395959433</v>
      </c>
    </row>
    <row r="5" spans="2:7" x14ac:dyDescent="0.25">
      <c r="C5" s="5">
        <v>144.69999999999999</v>
      </c>
      <c r="D5" t="s">
        <v>4</v>
      </c>
      <c r="E5" t="s">
        <v>36</v>
      </c>
      <c r="G5">
        <f t="shared" ref="G5:G12" si="0">C5/$C$14</f>
        <v>1.0041752218940447</v>
      </c>
    </row>
    <row r="6" spans="2:7" x14ac:dyDescent="0.25">
      <c r="C6" s="2">
        <v>126.19047619047601</v>
      </c>
      <c r="D6" t="s">
        <v>5</v>
      </c>
      <c r="E6" t="s">
        <v>41</v>
      </c>
      <c r="G6">
        <f t="shared" si="0"/>
        <v>0.87572459868338914</v>
      </c>
    </row>
    <row r="7" spans="2:7" x14ac:dyDescent="0.25">
      <c r="C7" s="2">
        <v>185.583333333333</v>
      </c>
      <c r="D7" t="s">
        <v>6</v>
      </c>
      <c r="E7" t="s">
        <v>47</v>
      </c>
      <c r="G7">
        <f t="shared" si="0"/>
        <v>1.2878934687618253</v>
      </c>
    </row>
    <row r="8" spans="2:7" x14ac:dyDescent="0.25">
      <c r="C8" s="2">
        <v>107.64</v>
      </c>
      <c r="D8" t="s">
        <v>7</v>
      </c>
      <c r="G8">
        <f t="shared" si="0"/>
        <v>0.74698977805580491</v>
      </c>
    </row>
    <row r="9" spans="2:7" x14ac:dyDescent="0.25">
      <c r="C9" s="2">
        <v>201.42857142857099</v>
      </c>
      <c r="D9" t="s">
        <v>8</v>
      </c>
      <c r="E9" t="s">
        <v>56</v>
      </c>
      <c r="G9">
        <f t="shared" si="0"/>
        <v>1.3978547367663146</v>
      </c>
    </row>
    <row r="10" spans="2:7" x14ac:dyDescent="0.25">
      <c r="C10" s="5">
        <v>40.72</v>
      </c>
      <c r="D10" t="s">
        <v>9</v>
      </c>
      <c r="G10">
        <f t="shared" si="0"/>
        <v>0.28258476182118519</v>
      </c>
    </row>
    <row r="11" spans="2:7" x14ac:dyDescent="0.25">
      <c r="C11" s="2">
        <v>162.458333333333</v>
      </c>
      <c r="D11" t="s">
        <v>10</v>
      </c>
      <c r="E11" t="s">
        <v>60</v>
      </c>
      <c r="G11">
        <f t="shared" si="0"/>
        <v>1.1274128052766852</v>
      </c>
    </row>
    <row r="12" spans="2:7" x14ac:dyDescent="0.25">
      <c r="C12" s="2">
        <v>179.619047619047</v>
      </c>
      <c r="D12" t="s">
        <v>11</v>
      </c>
      <c r="G12">
        <f t="shared" si="0"/>
        <v>1.2465030891448066</v>
      </c>
    </row>
    <row r="14" spans="2:7" x14ac:dyDescent="0.25">
      <c r="B14" t="s">
        <v>63</v>
      </c>
      <c r="C14" s="5">
        <f>AVERAGE(C4:C12)</f>
        <v>144.09835738335713</v>
      </c>
    </row>
    <row r="18" spans="2:7" x14ac:dyDescent="0.25">
      <c r="B18" s="3" t="s">
        <v>13</v>
      </c>
      <c r="C18" s="5">
        <v>168.041666666666</v>
      </c>
      <c r="D18" t="s">
        <v>3</v>
      </c>
      <c r="G18">
        <f>C18/$C$27</f>
        <v>1.11750264348657</v>
      </c>
    </row>
    <row r="19" spans="2:7" x14ac:dyDescent="0.25">
      <c r="C19" s="5">
        <v>169.375</v>
      </c>
      <c r="D19" t="s">
        <v>4</v>
      </c>
      <c r="E19" t="s">
        <v>37</v>
      </c>
      <c r="G19">
        <f t="shared" ref="G19:G26" si="1">C19/$C$27</f>
        <v>1.1263695129613005</v>
      </c>
    </row>
    <row r="20" spans="2:7" x14ac:dyDescent="0.25">
      <c r="C20" s="2">
        <v>129.68181818181799</v>
      </c>
      <c r="D20" t="s">
        <v>5</v>
      </c>
      <c r="E20" t="s">
        <v>42</v>
      </c>
      <c r="G20">
        <f t="shared" si="1"/>
        <v>0.86240381629750695</v>
      </c>
    </row>
    <row r="21" spans="2:7" x14ac:dyDescent="0.25">
      <c r="C21" s="2">
        <v>137.47826086956499</v>
      </c>
      <c r="D21" t="s">
        <v>6</v>
      </c>
      <c r="E21" t="s">
        <v>48</v>
      </c>
      <c r="G21">
        <f t="shared" si="1"/>
        <v>0.91425134605708358</v>
      </c>
    </row>
    <row r="22" spans="2:7" x14ac:dyDescent="0.25">
      <c r="C22" s="2">
        <v>107.166666666666</v>
      </c>
      <c r="D22" t="s">
        <v>7</v>
      </c>
      <c r="G22">
        <f t="shared" si="1"/>
        <v>0.7126746340311062</v>
      </c>
    </row>
    <row r="23" spans="2:7" x14ac:dyDescent="0.25">
      <c r="C23" s="2">
        <v>186.7</v>
      </c>
      <c r="D23" t="s">
        <v>8</v>
      </c>
      <c r="E23" t="s">
        <v>57</v>
      </c>
      <c r="G23">
        <f t="shared" si="1"/>
        <v>1.2415833981985227</v>
      </c>
    </row>
    <row r="24" spans="2:7" x14ac:dyDescent="0.25">
      <c r="C24" s="2">
        <v>67.681818181818102</v>
      </c>
      <c r="D24" t="s">
        <v>9</v>
      </c>
      <c r="G24">
        <f t="shared" si="1"/>
        <v>0.45009438572274391</v>
      </c>
    </row>
    <row r="25" spans="2:7" x14ac:dyDescent="0.25">
      <c r="C25" s="2">
        <v>148.72727272727201</v>
      </c>
      <c r="D25" t="s">
        <v>10</v>
      </c>
      <c r="G25">
        <f t="shared" si="1"/>
        <v>0.98905898595353436</v>
      </c>
    </row>
    <row r="26" spans="2:7" x14ac:dyDescent="0.25">
      <c r="C26" s="5">
        <v>238.5</v>
      </c>
      <c r="D26" t="s">
        <v>11</v>
      </c>
      <c r="E26" t="s">
        <v>62</v>
      </c>
      <c r="G26">
        <f t="shared" si="1"/>
        <v>1.586061277291632</v>
      </c>
    </row>
    <row r="27" spans="2:7" x14ac:dyDescent="0.25">
      <c r="B27" t="s">
        <v>63</v>
      </c>
      <c r="C27" s="5">
        <f>AVERAGE(C18:C26)</f>
        <v>150.37250036597834</v>
      </c>
    </row>
    <row r="32" spans="2:7" x14ac:dyDescent="0.25">
      <c r="B32" t="s">
        <v>14</v>
      </c>
      <c r="C32" s="5">
        <v>168.54545454545399</v>
      </c>
      <c r="D32" t="s">
        <v>3</v>
      </c>
      <c r="G32">
        <f>C32/$C$42</f>
        <v>1.2504686296951775</v>
      </c>
    </row>
    <row r="33" spans="2:7" x14ac:dyDescent="0.25">
      <c r="C33" s="5">
        <v>146.291666666666</v>
      </c>
      <c r="D33" t="s">
        <v>4</v>
      </c>
      <c r="E33" t="s">
        <v>38</v>
      </c>
      <c r="G33">
        <f t="shared" ref="G33:G40" si="2">C33/$C$42</f>
        <v>1.0853638292758312</v>
      </c>
    </row>
    <row r="34" spans="2:7" x14ac:dyDescent="0.25">
      <c r="C34" s="2">
        <v>121.791666666666</v>
      </c>
      <c r="D34" t="s">
        <v>5</v>
      </c>
      <c r="G34">
        <f t="shared" si="2"/>
        <v>0.90359398261841406</v>
      </c>
    </row>
    <row r="35" spans="2:7" x14ac:dyDescent="0.25">
      <c r="C35" s="2">
        <v>133.125</v>
      </c>
      <c r="D35" t="s">
        <v>6</v>
      </c>
      <c r="E35" t="s">
        <v>49</v>
      </c>
      <c r="G35">
        <f t="shared" si="2"/>
        <v>0.98767799331708817</v>
      </c>
    </row>
    <row r="36" spans="2:7" x14ac:dyDescent="0.25">
      <c r="C36" s="2">
        <v>73.095238095238102</v>
      </c>
      <c r="D36" t="s">
        <v>7</v>
      </c>
      <c r="G36">
        <f t="shared" si="2"/>
        <v>0.54230653959015618</v>
      </c>
    </row>
    <row r="37" spans="2:7" x14ac:dyDescent="0.25">
      <c r="C37" s="2">
        <v>160.31818181818099</v>
      </c>
      <c r="D37" t="s">
        <v>8</v>
      </c>
      <c r="G37">
        <f t="shared" si="2"/>
        <v>1.189429033693334</v>
      </c>
    </row>
    <row r="38" spans="2:7" x14ac:dyDescent="0.25">
      <c r="C38" s="2">
        <v>110.083333333333</v>
      </c>
      <c r="D38" t="s">
        <v>9</v>
      </c>
      <c r="G38">
        <f t="shared" si="2"/>
        <v>0.81672778038927674</v>
      </c>
    </row>
    <row r="39" spans="2:7" x14ac:dyDescent="0.25">
      <c r="C39" s="2">
        <v>96.869565217391298</v>
      </c>
      <c r="D39" t="s">
        <v>10</v>
      </c>
      <c r="G39">
        <f t="shared" si="2"/>
        <v>0.718692490421873</v>
      </c>
    </row>
    <row r="40" spans="2:7" x14ac:dyDescent="0.25">
      <c r="C40" s="2">
        <v>202.95238095238</v>
      </c>
      <c r="D40" t="s">
        <v>11</v>
      </c>
      <c r="G40">
        <f t="shared" si="2"/>
        <v>1.5057397209988499</v>
      </c>
    </row>
    <row r="42" spans="2:7" x14ac:dyDescent="0.25">
      <c r="B42" t="s">
        <v>63</v>
      </c>
      <c r="C42" s="5">
        <f>AVERAGE(C32:C40)</f>
        <v>134.78583192170103</v>
      </c>
    </row>
    <row r="46" spans="2:7" x14ac:dyDescent="0.25">
      <c r="B46" t="s">
        <v>15</v>
      </c>
      <c r="C46" s="5">
        <v>160.71428571428501</v>
      </c>
      <c r="D46" t="s">
        <v>3</v>
      </c>
      <c r="G46">
        <f>C46/$C$56</f>
        <v>1.0887686483388745</v>
      </c>
    </row>
    <row r="47" spans="2:7" x14ac:dyDescent="0.25">
      <c r="C47" s="5">
        <v>145.47999999999999</v>
      </c>
      <c r="D47" t="s">
        <v>4</v>
      </c>
      <c r="E47" t="s">
        <v>39</v>
      </c>
      <c r="G47">
        <f t="shared" ref="G47:G54" si="3">C47/$C$56</f>
        <v>0.98556305841989422</v>
      </c>
    </row>
    <row r="48" spans="2:7" x14ac:dyDescent="0.25">
      <c r="C48" s="2">
        <v>131.19047619047601</v>
      </c>
      <c r="D48" t="s">
        <v>5</v>
      </c>
      <c r="G48">
        <f t="shared" si="3"/>
        <v>0.88875781516255059</v>
      </c>
    </row>
    <row r="49" spans="2:7" x14ac:dyDescent="0.25">
      <c r="C49" s="2">
        <v>177.38095238095201</v>
      </c>
      <c r="D49" t="s">
        <v>6</v>
      </c>
      <c r="E49" t="s">
        <v>50</v>
      </c>
      <c r="G49">
        <f t="shared" si="3"/>
        <v>1.2016779896480938</v>
      </c>
    </row>
    <row r="50" spans="2:7" x14ac:dyDescent="0.25">
      <c r="C50" s="2">
        <v>106.136363636363</v>
      </c>
      <c r="D50" t="s">
        <v>7</v>
      </c>
      <c r="G50">
        <f t="shared" si="3"/>
        <v>0.71902721442823736</v>
      </c>
    </row>
    <row r="51" spans="2:7" x14ac:dyDescent="0.25">
      <c r="C51" s="2">
        <v>175.1</v>
      </c>
      <c r="D51" t="s">
        <v>8</v>
      </c>
      <c r="G51">
        <f t="shared" si="3"/>
        <v>1.1862255397946349</v>
      </c>
    </row>
    <row r="52" spans="2:7" x14ac:dyDescent="0.25">
      <c r="C52" s="2">
        <v>132.88</v>
      </c>
      <c r="D52" t="s">
        <v>9</v>
      </c>
      <c r="G52">
        <f t="shared" si="3"/>
        <v>0.90020359639012615</v>
      </c>
    </row>
    <row r="53" spans="2:7" x14ac:dyDescent="0.25">
      <c r="C53" s="2">
        <v>105.4</v>
      </c>
      <c r="D53" t="s">
        <v>10</v>
      </c>
      <c r="G53">
        <f t="shared" si="3"/>
        <v>0.7140386744394891</v>
      </c>
    </row>
    <row r="54" spans="2:7" x14ac:dyDescent="0.25">
      <c r="C54" s="2">
        <v>194.21739130434699</v>
      </c>
      <c r="D54" t="s">
        <v>11</v>
      </c>
      <c r="G54">
        <f t="shared" si="3"/>
        <v>1.3157374633780974</v>
      </c>
    </row>
    <row r="56" spans="2:7" x14ac:dyDescent="0.25">
      <c r="B56" t="s">
        <v>63</v>
      </c>
      <c r="C56" s="5">
        <f>AVERAGE(C46:C54)</f>
        <v>147.61105213626925</v>
      </c>
    </row>
    <row r="58" spans="2:7" x14ac:dyDescent="0.25">
      <c r="B58" t="s">
        <v>16</v>
      </c>
      <c r="C58" s="2">
        <v>182.72</v>
      </c>
      <c r="D58" t="s">
        <v>3</v>
      </c>
      <c r="G58">
        <f>C58/$C$68</f>
        <v>1.2143907962276432</v>
      </c>
    </row>
    <row r="59" spans="2:7" x14ac:dyDescent="0.25">
      <c r="C59" s="5">
        <v>130.57692307692301</v>
      </c>
      <c r="D59" t="s">
        <v>4</v>
      </c>
      <c r="G59">
        <f t="shared" ref="G59:G66" si="4">C59/$C$68</f>
        <v>0.86783829676193225</v>
      </c>
    </row>
    <row r="60" spans="2:7" x14ac:dyDescent="0.25">
      <c r="C60" s="2">
        <v>135.08695652173901</v>
      </c>
      <c r="D60" t="s">
        <v>5</v>
      </c>
      <c r="G60">
        <f t="shared" si="4"/>
        <v>0.89781281025833881</v>
      </c>
    </row>
    <row r="61" spans="2:7" x14ac:dyDescent="0.25">
      <c r="C61" s="2">
        <v>163.25</v>
      </c>
      <c r="D61" t="s">
        <v>6</v>
      </c>
      <c r="G61">
        <f t="shared" si="4"/>
        <v>1.0849895878073705</v>
      </c>
    </row>
    <row r="62" spans="2:7" x14ac:dyDescent="0.25">
      <c r="C62" s="2">
        <v>155.05000000000001</v>
      </c>
      <c r="D62" t="s">
        <v>7</v>
      </c>
      <c r="G62">
        <f t="shared" si="4"/>
        <v>1.0304908765055609</v>
      </c>
    </row>
    <row r="63" spans="2:7" x14ac:dyDescent="0.25">
      <c r="C63" s="2">
        <v>175.4</v>
      </c>
      <c r="D63" t="s">
        <v>8</v>
      </c>
      <c r="G63">
        <f t="shared" si="4"/>
        <v>1.1657407271143205</v>
      </c>
    </row>
    <row r="64" spans="2:7" x14ac:dyDescent="0.25">
      <c r="C64" s="2">
        <v>118.636363636363</v>
      </c>
      <c r="D64" t="s">
        <v>9</v>
      </c>
      <c r="G64">
        <f t="shared" si="4"/>
        <v>0.78847913801398362</v>
      </c>
    </row>
    <row r="65" spans="2:7" x14ac:dyDescent="0.25">
      <c r="C65" s="2">
        <v>153.875</v>
      </c>
      <c r="D65" t="s">
        <v>10</v>
      </c>
      <c r="G65">
        <f t="shared" si="4"/>
        <v>1.0226816099470699</v>
      </c>
    </row>
    <row r="66" spans="2:7" x14ac:dyDescent="0.25">
      <c r="C66" s="2">
        <v>139.565217391304</v>
      </c>
      <c r="D66" t="s">
        <v>11</v>
      </c>
      <c r="G66">
        <f t="shared" si="4"/>
        <v>0.92757615736377952</v>
      </c>
    </row>
    <row r="68" spans="2:7" x14ac:dyDescent="0.25">
      <c r="B68" t="s">
        <v>63</v>
      </c>
      <c r="C68" s="5">
        <f>AVERAGEA(C58:C66)</f>
        <v>150.46227340292546</v>
      </c>
    </row>
    <row r="71" spans="2:7" x14ac:dyDescent="0.25">
      <c r="B71" t="s">
        <v>17</v>
      </c>
      <c r="C71" s="2">
        <v>183.739130434782</v>
      </c>
      <c r="D71" t="s">
        <v>3</v>
      </c>
      <c r="G71">
        <f>C71/$C$81</f>
        <v>1.155191269817061</v>
      </c>
    </row>
    <row r="72" spans="2:7" x14ac:dyDescent="0.25">
      <c r="C72" s="5">
        <v>125.59090909090899</v>
      </c>
      <c r="D72" t="s">
        <v>4</v>
      </c>
      <c r="G72">
        <f t="shared" ref="G72:G79" si="5">C72/$C$81</f>
        <v>0.78960601047201961</v>
      </c>
    </row>
    <row r="73" spans="2:7" x14ac:dyDescent="0.25">
      <c r="C73" s="2">
        <v>158.68421052631501</v>
      </c>
      <c r="D73" t="s">
        <v>5</v>
      </c>
      <c r="G73">
        <f t="shared" si="5"/>
        <v>0.99766780339083838</v>
      </c>
    </row>
    <row r="74" spans="2:7" x14ac:dyDescent="0.25">
      <c r="C74" s="2">
        <v>165</v>
      </c>
      <c r="D74" t="s">
        <v>6</v>
      </c>
      <c r="G74">
        <f t="shared" si="5"/>
        <v>1.0373759746700808</v>
      </c>
    </row>
    <row r="75" spans="2:7" x14ac:dyDescent="0.25">
      <c r="C75" s="2">
        <v>157.78260869565199</v>
      </c>
      <c r="D75" t="s">
        <v>7</v>
      </c>
      <c r="G75">
        <f t="shared" si="5"/>
        <v>0.99199931807054509</v>
      </c>
    </row>
    <row r="76" spans="2:7" x14ac:dyDescent="0.25">
      <c r="C76" s="5">
        <v>186.85</v>
      </c>
      <c r="D76" t="s">
        <v>8</v>
      </c>
      <c r="G76">
        <f t="shared" si="5"/>
        <v>1.1747497022248763</v>
      </c>
    </row>
    <row r="77" spans="2:7" x14ac:dyDescent="0.25">
      <c r="C77" s="2">
        <v>143.40909090909</v>
      </c>
      <c r="D77" t="s">
        <v>9</v>
      </c>
      <c r="G77">
        <f t="shared" si="5"/>
        <v>0.90163118459616642</v>
      </c>
    </row>
    <row r="78" spans="2:7" x14ac:dyDescent="0.25">
      <c r="C78" s="2">
        <v>145.583333333333</v>
      </c>
      <c r="D78" t="s">
        <v>10</v>
      </c>
      <c r="G78">
        <f t="shared" si="5"/>
        <v>0.91530092310536715</v>
      </c>
    </row>
    <row r="79" spans="2:7" x14ac:dyDescent="0.25">
      <c r="C79" s="2">
        <v>164.85714285714201</v>
      </c>
      <c r="D79" t="s">
        <v>11</v>
      </c>
      <c r="G79">
        <f t="shared" si="5"/>
        <v>1.036477813653045</v>
      </c>
    </row>
    <row r="81" spans="2:7" x14ac:dyDescent="0.25">
      <c r="B81" t="s">
        <v>63</v>
      </c>
      <c r="C81" s="5">
        <f>AVERAGE(C71:C79)</f>
        <v>159.05515842746922</v>
      </c>
    </row>
    <row r="84" spans="2:7" x14ac:dyDescent="0.25">
      <c r="B84" t="s">
        <v>20</v>
      </c>
      <c r="C84" s="2">
        <v>123.96</v>
      </c>
      <c r="D84" t="s">
        <v>3</v>
      </c>
      <c r="G84">
        <f>C84/$C$94</f>
        <v>0.86186340913739012</v>
      </c>
    </row>
    <row r="85" spans="2:7" x14ac:dyDescent="0.25">
      <c r="C85" s="5">
        <v>136.95238095238</v>
      </c>
      <c r="D85" t="s">
        <v>4</v>
      </c>
      <c r="G85">
        <f t="shared" ref="G85:G92" si="6">C85/$C$94</f>
        <v>0.9521962402153985</v>
      </c>
    </row>
    <row r="86" spans="2:7" x14ac:dyDescent="0.25">
      <c r="C86" s="2">
        <v>158.173913043478</v>
      </c>
      <c r="D86" t="s">
        <v>5</v>
      </c>
      <c r="G86">
        <f t="shared" si="6"/>
        <v>1.0997443363363428</v>
      </c>
    </row>
    <row r="87" spans="2:7" x14ac:dyDescent="0.25">
      <c r="C87" s="2">
        <v>126.380952380952</v>
      </c>
      <c r="D87" t="s">
        <v>6</v>
      </c>
      <c r="G87">
        <f t="shared" si="6"/>
        <v>0.87869569594286423</v>
      </c>
    </row>
    <row r="88" spans="2:7" x14ac:dyDescent="0.25">
      <c r="C88" s="2">
        <v>142.083333333333</v>
      </c>
      <c r="D88" t="s">
        <v>7</v>
      </c>
      <c r="G88">
        <f t="shared" si="6"/>
        <v>0.98787049087020462</v>
      </c>
    </row>
    <row r="89" spans="2:7" x14ac:dyDescent="0.25">
      <c r="C89" s="2">
        <v>134.416666666666</v>
      </c>
      <c r="D89" t="s">
        <v>8</v>
      </c>
      <c r="G89">
        <f t="shared" si="6"/>
        <v>0.93456604209597416</v>
      </c>
    </row>
    <row r="90" spans="2:7" x14ac:dyDescent="0.25">
      <c r="C90" s="2">
        <v>177.76190476190399</v>
      </c>
      <c r="D90" t="s">
        <v>9</v>
      </c>
      <c r="G90">
        <f t="shared" si="6"/>
        <v>1.2359348277900182</v>
      </c>
    </row>
    <row r="91" spans="2:7" x14ac:dyDescent="0.25">
      <c r="C91" s="2">
        <v>122.96</v>
      </c>
      <c r="D91" t="s">
        <v>10</v>
      </c>
      <c r="G91">
        <f t="shared" si="6"/>
        <v>0.85491065494944729</v>
      </c>
    </row>
    <row r="92" spans="2:7" x14ac:dyDescent="0.25">
      <c r="C92" s="2">
        <v>171.76190476190399</v>
      </c>
      <c r="D92" t="s">
        <v>11</v>
      </c>
      <c r="G92">
        <f t="shared" si="6"/>
        <v>1.1942183026623614</v>
      </c>
    </row>
    <row r="94" spans="2:7" x14ac:dyDescent="0.25">
      <c r="B94" t="s">
        <v>63</v>
      </c>
      <c r="C94" s="5">
        <f>AVERAGE(C84:C92)</f>
        <v>143.82789510006853</v>
      </c>
    </row>
    <row r="98" spans="2:7" x14ac:dyDescent="0.25">
      <c r="B98" t="s">
        <v>18</v>
      </c>
      <c r="C98" s="2">
        <v>118.416666666666</v>
      </c>
      <c r="D98" t="s">
        <v>3</v>
      </c>
      <c r="G98">
        <f>C98/$C$108</f>
        <v>0.79008378492914944</v>
      </c>
    </row>
    <row r="99" spans="2:7" x14ac:dyDescent="0.25">
      <c r="C99" s="2">
        <v>143.52380952380901</v>
      </c>
      <c r="D99" t="s">
        <v>4</v>
      </c>
      <c r="G99">
        <f t="shared" ref="G99:G106" si="7">C99/$C$108</f>
        <v>0.95760029266169133</v>
      </c>
    </row>
    <row r="100" spans="2:7" x14ac:dyDescent="0.25">
      <c r="C100" s="5">
        <v>156.36000000000001</v>
      </c>
      <c r="D100" t="s">
        <v>5</v>
      </c>
      <c r="G100">
        <f t="shared" si="7"/>
        <v>1.043244199393575</v>
      </c>
    </row>
    <row r="101" spans="2:7" x14ac:dyDescent="0.25">
      <c r="C101" s="2">
        <v>141.04761904761901</v>
      </c>
      <c r="D101" t="s">
        <v>6</v>
      </c>
      <c r="G101">
        <f t="shared" si="7"/>
        <v>0.94107898701524195</v>
      </c>
    </row>
    <row r="102" spans="2:7" x14ac:dyDescent="0.25">
      <c r="C102" s="2">
        <v>164.739130434782</v>
      </c>
      <c r="D102" t="s">
        <v>7</v>
      </c>
      <c r="G102">
        <f t="shared" si="7"/>
        <v>1.0991503085138645</v>
      </c>
    </row>
    <row r="103" spans="2:7" x14ac:dyDescent="0.25">
      <c r="C103" s="2">
        <v>149.772727272727</v>
      </c>
      <c r="D103" t="s">
        <v>8</v>
      </c>
      <c r="G103">
        <f t="shared" si="7"/>
        <v>0.99929348269780194</v>
      </c>
    </row>
    <row r="104" spans="2:7" x14ac:dyDescent="0.25">
      <c r="C104" s="2">
        <v>183</v>
      </c>
      <c r="D104" t="s">
        <v>9</v>
      </c>
      <c r="G104">
        <f t="shared" si="7"/>
        <v>1.2209880307561025</v>
      </c>
    </row>
    <row r="105" spans="2:7" x14ac:dyDescent="0.25">
      <c r="C105" s="2">
        <v>115.04761904761899</v>
      </c>
      <c r="D105" t="s">
        <v>10</v>
      </c>
      <c r="G105">
        <f t="shared" si="7"/>
        <v>0.76760527772748954</v>
      </c>
    </row>
    <row r="106" spans="2:7" x14ac:dyDescent="0.25">
      <c r="C106" s="2">
        <v>177</v>
      </c>
      <c r="D106" t="s">
        <v>11</v>
      </c>
      <c r="G106">
        <f t="shared" si="7"/>
        <v>1.1809556363050828</v>
      </c>
    </row>
    <row r="108" spans="2:7" x14ac:dyDescent="0.25">
      <c r="B108" t="s">
        <v>63</v>
      </c>
      <c r="C108" s="5">
        <f>AVERAGE(C98:C106)</f>
        <v>149.87861911035802</v>
      </c>
    </row>
    <row r="110" spans="2:7" x14ac:dyDescent="0.25">
      <c r="B110" t="s">
        <v>19</v>
      </c>
      <c r="C110" s="2">
        <v>103.19047619047601</v>
      </c>
      <c r="D110" t="s">
        <v>3</v>
      </c>
      <c r="G110">
        <f>C110/$C$120</f>
        <v>0.64376097585944836</v>
      </c>
    </row>
    <row r="111" spans="2:7" x14ac:dyDescent="0.25">
      <c r="C111" s="5">
        <v>146.416666666666</v>
      </c>
      <c r="D111" t="s">
        <v>4</v>
      </c>
      <c r="G111">
        <f t="shared" ref="G111:G118" si="8">C111/$C$120</f>
        <v>0.91343057707606523</v>
      </c>
    </row>
    <row r="112" spans="2:7" x14ac:dyDescent="0.25">
      <c r="C112" s="2">
        <v>174.13043478260801</v>
      </c>
      <c r="D112" t="s">
        <v>5</v>
      </c>
      <c r="G112">
        <f t="shared" si="8"/>
        <v>1.0863248505178225</v>
      </c>
    </row>
    <row r="113" spans="2:7" x14ac:dyDescent="0.25">
      <c r="C113" s="2">
        <v>190.82608695652101</v>
      </c>
      <c r="D113" t="s">
        <v>6</v>
      </c>
      <c r="G113">
        <f t="shared" si="8"/>
        <v>1.1904818399307673</v>
      </c>
    </row>
    <row r="114" spans="2:7" x14ac:dyDescent="0.25">
      <c r="C114" s="2">
        <v>161.82608695652101</v>
      </c>
      <c r="D114" t="s">
        <v>7</v>
      </c>
      <c r="G114">
        <f t="shared" si="8"/>
        <v>1.0095633192577611</v>
      </c>
    </row>
    <row r="115" spans="2:7" x14ac:dyDescent="0.25">
      <c r="C115" s="2">
        <v>177.34782608695599</v>
      </c>
      <c r="D115" t="s">
        <v>8</v>
      </c>
      <c r="G115">
        <f t="shared" si="8"/>
        <v>1.1063967703526096</v>
      </c>
    </row>
    <row r="116" spans="2:7" x14ac:dyDescent="0.25">
      <c r="C116" s="2">
        <v>146.09523809523799</v>
      </c>
      <c r="D116" t="s">
        <v>9</v>
      </c>
      <c r="G116">
        <f t="shared" si="8"/>
        <v>0.91142532253658959</v>
      </c>
    </row>
    <row r="117" spans="2:7" x14ac:dyDescent="0.25">
      <c r="C117" s="2">
        <v>142.75</v>
      </c>
      <c r="D117" t="s">
        <v>10</v>
      </c>
      <c r="G117">
        <f t="shared" si="8"/>
        <v>0.89055582158867785</v>
      </c>
    </row>
    <row r="118" spans="2:7" x14ac:dyDescent="0.25">
      <c r="C118" s="2">
        <v>200.055555555555</v>
      </c>
      <c r="D118" t="s">
        <v>11</v>
      </c>
      <c r="G118">
        <f t="shared" si="8"/>
        <v>1.2480605228802568</v>
      </c>
    </row>
    <row r="120" spans="2:7" x14ac:dyDescent="0.25">
      <c r="B120" t="s">
        <v>63</v>
      </c>
      <c r="C120" s="5">
        <f>AVERAGE(C110:C118)</f>
        <v>160.2931523656157</v>
      </c>
    </row>
    <row r="122" spans="2:7" x14ac:dyDescent="0.25">
      <c r="B122" t="s">
        <v>21</v>
      </c>
      <c r="C122" s="5">
        <v>97.478260869565204</v>
      </c>
      <c r="D122" t="s">
        <v>3</v>
      </c>
      <c r="G122">
        <f>C122/$C$132</f>
        <v>0.63962419098585177</v>
      </c>
    </row>
    <row r="123" spans="2:7" x14ac:dyDescent="0.25">
      <c r="C123" s="5">
        <v>142.95652173913001</v>
      </c>
      <c r="D123" t="s">
        <v>4</v>
      </c>
      <c r="G123">
        <f t="shared" ref="G123:G130" si="9">C123/$C$132</f>
        <v>0.93803940230217431</v>
      </c>
    </row>
    <row r="124" spans="2:7" x14ac:dyDescent="0.25">
      <c r="C124" s="2">
        <v>167.416666666666</v>
      </c>
      <c r="D124" t="s">
        <v>5</v>
      </c>
      <c r="G124">
        <f t="shared" si="9"/>
        <v>1.0985398079424302</v>
      </c>
    </row>
    <row r="125" spans="2:7" x14ac:dyDescent="0.25">
      <c r="C125" s="2">
        <v>168.125</v>
      </c>
      <c r="D125" t="s">
        <v>6</v>
      </c>
      <c r="G125">
        <f t="shared" si="9"/>
        <v>1.1031876866719073</v>
      </c>
    </row>
    <row r="126" spans="2:7" x14ac:dyDescent="0.25">
      <c r="C126" s="2">
        <v>199.304347826086</v>
      </c>
      <c r="D126" t="s">
        <v>7</v>
      </c>
      <c r="G126">
        <f t="shared" si="9"/>
        <v>1.3077775608738318</v>
      </c>
    </row>
    <row r="127" spans="2:7" x14ac:dyDescent="0.25">
      <c r="C127" s="2">
        <v>145.69999999999999</v>
      </c>
      <c r="D127" t="s">
        <v>8</v>
      </c>
      <c r="G127">
        <f t="shared" si="9"/>
        <v>0.95604131418942373</v>
      </c>
    </row>
    <row r="128" spans="2:7" x14ac:dyDescent="0.25">
      <c r="C128" s="2">
        <v>128.09090909090901</v>
      </c>
      <c r="D128" t="s">
        <v>9</v>
      </c>
      <c r="G128">
        <f t="shared" si="9"/>
        <v>0.84049554607406085</v>
      </c>
    </row>
    <row r="129" spans="2:7" x14ac:dyDescent="0.25">
      <c r="C129" s="2">
        <v>153.52173913043401</v>
      </c>
      <c r="D129" t="s">
        <v>10</v>
      </c>
      <c r="G129">
        <f t="shared" si="9"/>
        <v>1.0073653070343584</v>
      </c>
    </row>
    <row r="130" spans="2:7" x14ac:dyDescent="0.25">
      <c r="C130" s="2">
        <v>169</v>
      </c>
      <c r="D130" t="s">
        <v>11</v>
      </c>
      <c r="G130">
        <f t="shared" si="9"/>
        <v>1.1089291839259618</v>
      </c>
    </row>
    <row r="132" spans="2:7" x14ac:dyDescent="0.25">
      <c r="B132" t="s">
        <v>63</v>
      </c>
      <c r="C132" s="5">
        <f>AVERAGE(C122:C130)</f>
        <v>152.39927170253225</v>
      </c>
    </row>
    <row r="135" spans="2:7" x14ac:dyDescent="0.25">
      <c r="B135" t="s">
        <v>22</v>
      </c>
      <c r="C135" s="2">
        <v>128.42857142857099</v>
      </c>
      <c r="D135" t="s">
        <v>3</v>
      </c>
      <c r="G135">
        <f>C135/$C$145</f>
        <v>0.96221977931611935</v>
      </c>
    </row>
    <row r="136" spans="2:7" x14ac:dyDescent="0.25">
      <c r="C136" s="2">
        <v>161.28571428571399</v>
      </c>
      <c r="D136" t="s">
        <v>4</v>
      </c>
      <c r="G136">
        <f t="shared" ref="G136:G143" si="10">C136/$C$145</f>
        <v>1.2083939164047837</v>
      </c>
    </row>
    <row r="137" spans="2:7" x14ac:dyDescent="0.25">
      <c r="C137" s="2">
        <v>103.869565217391</v>
      </c>
      <c r="D137" t="s">
        <v>5</v>
      </c>
      <c r="G137">
        <f t="shared" si="10"/>
        <v>0.77821740917461291</v>
      </c>
    </row>
    <row r="138" spans="2:7" x14ac:dyDescent="0.25">
      <c r="C138" s="2">
        <v>134.88461538461499</v>
      </c>
      <c r="D138" t="s">
        <v>6</v>
      </c>
      <c r="G138">
        <f t="shared" si="10"/>
        <v>1.0105901156169859</v>
      </c>
    </row>
    <row r="139" spans="2:7" x14ac:dyDescent="0.25">
      <c r="C139" s="2">
        <v>162.291666666666</v>
      </c>
      <c r="D139" t="s">
        <v>7</v>
      </c>
      <c r="G139">
        <f t="shared" si="10"/>
        <v>1.2159307695149228</v>
      </c>
    </row>
    <row r="140" spans="2:7" x14ac:dyDescent="0.25">
      <c r="C140" s="2">
        <v>83.076923076922995</v>
      </c>
      <c r="D140" t="s">
        <v>8</v>
      </c>
      <c r="G140">
        <f t="shared" si="10"/>
        <v>0.62243360414391036</v>
      </c>
    </row>
    <row r="141" spans="2:7" x14ac:dyDescent="0.25">
      <c r="C141" s="2">
        <v>103.25</v>
      </c>
      <c r="D141" t="s">
        <v>9</v>
      </c>
      <c r="G141">
        <f t="shared" si="10"/>
        <v>0.77357546774274488</v>
      </c>
    </row>
    <row r="142" spans="2:7" x14ac:dyDescent="0.25">
      <c r="C142" s="2">
        <v>160.39130434782601</v>
      </c>
      <c r="D142" t="s">
        <v>10</v>
      </c>
      <c r="G142">
        <f t="shared" si="10"/>
        <v>1.201692767871559</v>
      </c>
    </row>
    <row r="143" spans="2:7" x14ac:dyDescent="0.25">
      <c r="C143" s="2">
        <v>163.76190476190399</v>
      </c>
      <c r="D143" t="s">
        <v>11</v>
      </c>
      <c r="G143">
        <f t="shared" si="10"/>
        <v>1.2269461702143605</v>
      </c>
    </row>
    <row r="145" spans="2:7" x14ac:dyDescent="0.25">
      <c r="B145" t="s">
        <v>63</v>
      </c>
      <c r="C145" s="5">
        <f>AVERAGE(C135:C143)</f>
        <v>133.47114057440112</v>
      </c>
    </row>
    <row r="148" spans="2:7" x14ac:dyDescent="0.25">
      <c r="B148" t="s">
        <v>23</v>
      </c>
      <c r="C148" s="5">
        <v>156.22727272727201</v>
      </c>
      <c r="D148" t="s">
        <v>3</v>
      </c>
      <c r="G148">
        <f>C148/$C$158</f>
        <v>1.131306572268066</v>
      </c>
    </row>
    <row r="149" spans="2:7" x14ac:dyDescent="0.25">
      <c r="C149" s="2">
        <v>170.22727272727201</v>
      </c>
      <c r="D149" t="s">
        <v>4</v>
      </c>
      <c r="G149">
        <f t="shared" ref="G149:G156" si="11">C149/$C$158</f>
        <v>1.2326863872981986</v>
      </c>
    </row>
    <row r="150" spans="2:7" x14ac:dyDescent="0.25">
      <c r="C150" s="2">
        <v>129.5</v>
      </c>
      <c r="D150" t="s">
        <v>5</v>
      </c>
      <c r="G150">
        <f t="shared" si="11"/>
        <v>0.93776328902872708</v>
      </c>
    </row>
    <row r="151" spans="2:7" x14ac:dyDescent="0.25">
      <c r="C151" s="2">
        <v>121.07692307692299</v>
      </c>
      <c r="D151" t="s">
        <v>6</v>
      </c>
      <c r="G151">
        <f t="shared" si="11"/>
        <v>0.87676829042543236</v>
      </c>
    </row>
    <row r="152" spans="2:7" x14ac:dyDescent="0.25">
      <c r="C152" s="2">
        <v>130.84615384615299</v>
      </c>
      <c r="D152" t="s">
        <v>7</v>
      </c>
      <c r="G152">
        <f t="shared" si="11"/>
        <v>0.9475113481662335</v>
      </c>
    </row>
    <row r="153" spans="2:7" x14ac:dyDescent="0.25">
      <c r="C153" s="2">
        <v>85.76</v>
      </c>
      <c r="D153" t="s">
        <v>8</v>
      </c>
      <c r="G153">
        <f t="shared" si="11"/>
        <v>0.62102378121315549</v>
      </c>
    </row>
    <row r="154" spans="2:7" x14ac:dyDescent="0.25">
      <c r="C154" s="2">
        <v>118</v>
      </c>
      <c r="D154" t="s">
        <v>9</v>
      </c>
      <c r="G154">
        <f t="shared" si="11"/>
        <v>0.85448701239683233</v>
      </c>
    </row>
    <row r="155" spans="2:7" x14ac:dyDescent="0.25">
      <c r="C155" s="2">
        <v>149.88</v>
      </c>
      <c r="D155" t="s">
        <v>10</v>
      </c>
      <c r="G155">
        <f t="shared" si="11"/>
        <v>1.0853433340511629</v>
      </c>
    </row>
    <row r="156" spans="2:7" x14ac:dyDescent="0.25">
      <c r="C156" s="2">
        <v>181.333333333333</v>
      </c>
      <c r="D156" t="s">
        <v>11</v>
      </c>
      <c r="G156">
        <f t="shared" si="11"/>
        <v>1.3131099851521919</v>
      </c>
    </row>
    <row r="158" spans="2:7" x14ac:dyDescent="0.25">
      <c r="B158" t="s">
        <v>63</v>
      </c>
      <c r="C158" s="5">
        <f>AVERAGE(C148:C156)</f>
        <v>138.09455063455033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2D3F-AFF9-4EBB-AE13-26450CBFA000}">
  <dimension ref="B3:F65"/>
  <sheetViews>
    <sheetView topLeftCell="A35" workbookViewId="0">
      <selection activeCell="D65" sqref="D65"/>
    </sheetView>
  </sheetViews>
  <sheetFormatPr defaultRowHeight="15" x14ac:dyDescent="0.25"/>
  <cols>
    <col min="2" max="2" width="17.7109375" bestFit="1" customWidth="1"/>
    <col min="3" max="3" width="16.28515625" bestFit="1" customWidth="1"/>
    <col min="6" max="6" width="42.85546875" bestFit="1" customWidth="1"/>
  </cols>
  <sheetData>
    <row r="3" spans="2:6" x14ac:dyDescent="0.25">
      <c r="B3" s="4" t="s">
        <v>4</v>
      </c>
      <c r="D3" t="s">
        <v>32</v>
      </c>
    </row>
    <row r="4" spans="2:6" x14ac:dyDescent="0.25">
      <c r="B4" t="s">
        <v>24</v>
      </c>
      <c r="C4" t="s">
        <v>25</v>
      </c>
    </row>
    <row r="6" spans="2:6" x14ac:dyDescent="0.25">
      <c r="B6" t="s">
        <v>26</v>
      </c>
      <c r="C6" t="s">
        <v>27</v>
      </c>
    </row>
    <row r="7" spans="2:6" x14ac:dyDescent="0.25">
      <c r="C7" t="s">
        <v>28</v>
      </c>
      <c r="D7">
        <v>497</v>
      </c>
    </row>
    <row r="8" spans="2:6" x14ac:dyDescent="0.25">
      <c r="C8" t="s">
        <v>29</v>
      </c>
      <c r="D8">
        <v>529</v>
      </c>
    </row>
    <row r="9" spans="2:6" x14ac:dyDescent="0.25">
      <c r="C9" t="s">
        <v>30</v>
      </c>
      <c r="D9">
        <v>562</v>
      </c>
    </row>
    <row r="10" spans="2:6" x14ac:dyDescent="0.25">
      <c r="C10" t="s">
        <v>31</v>
      </c>
      <c r="D10">
        <v>595</v>
      </c>
    </row>
    <row r="13" spans="2:6" x14ac:dyDescent="0.25">
      <c r="B13" t="s">
        <v>33</v>
      </c>
      <c r="C13" t="s">
        <v>27</v>
      </c>
    </row>
    <row r="14" spans="2:6" x14ac:dyDescent="0.25">
      <c r="C14" t="s">
        <v>29</v>
      </c>
      <c r="D14">
        <v>384</v>
      </c>
      <c r="E14" t="s">
        <v>35</v>
      </c>
      <c r="F14" t="s">
        <v>34</v>
      </c>
    </row>
    <row r="18" spans="2:4" x14ac:dyDescent="0.25">
      <c r="B18" s="4" t="s">
        <v>5</v>
      </c>
    </row>
    <row r="19" spans="2:4" x14ac:dyDescent="0.25">
      <c r="B19" t="s">
        <v>40</v>
      </c>
      <c r="C19" t="s">
        <v>27</v>
      </c>
    </row>
    <row r="20" spans="2:4" x14ac:dyDescent="0.25">
      <c r="C20" t="s">
        <v>28</v>
      </c>
      <c r="D20">
        <v>441</v>
      </c>
    </row>
    <row r="21" spans="2:4" x14ac:dyDescent="0.25">
      <c r="C21" t="s">
        <v>29</v>
      </c>
      <c r="D21">
        <v>475</v>
      </c>
    </row>
    <row r="24" spans="2:4" x14ac:dyDescent="0.25">
      <c r="B24" s="4" t="s">
        <v>43</v>
      </c>
    </row>
    <row r="25" spans="2:4" x14ac:dyDescent="0.25">
      <c r="B25" t="s">
        <v>44</v>
      </c>
      <c r="C25" t="s">
        <v>27</v>
      </c>
    </row>
    <row r="26" spans="2:4" x14ac:dyDescent="0.25">
      <c r="C26" t="s">
        <v>28</v>
      </c>
      <c r="D26">
        <v>620</v>
      </c>
    </row>
    <row r="28" spans="2:4" x14ac:dyDescent="0.25">
      <c r="B28" t="s">
        <v>45</v>
      </c>
      <c r="C28" t="s">
        <v>27</v>
      </c>
    </row>
    <row r="29" spans="2:4" x14ac:dyDescent="0.25">
      <c r="C29" t="s">
        <v>28</v>
      </c>
      <c r="D29">
        <v>381</v>
      </c>
    </row>
    <row r="30" spans="2:4" x14ac:dyDescent="0.25">
      <c r="C30" t="s">
        <v>29</v>
      </c>
      <c r="D30">
        <v>410</v>
      </c>
    </row>
    <row r="31" spans="2:4" x14ac:dyDescent="0.25">
      <c r="C31" t="s">
        <v>30</v>
      </c>
      <c r="D31">
        <v>428</v>
      </c>
    </row>
    <row r="32" spans="2:4" x14ac:dyDescent="0.25">
      <c r="C32" t="s">
        <v>31</v>
      </c>
      <c r="D32">
        <v>456</v>
      </c>
    </row>
    <row r="34" spans="2:4" x14ac:dyDescent="0.25">
      <c r="B34" t="s">
        <v>46</v>
      </c>
      <c r="C34" t="s">
        <v>27</v>
      </c>
    </row>
    <row r="35" spans="2:4" x14ac:dyDescent="0.25">
      <c r="C35" t="s">
        <v>28</v>
      </c>
      <c r="D35">
        <v>479</v>
      </c>
    </row>
    <row r="38" spans="2:4" x14ac:dyDescent="0.25">
      <c r="B38" s="4" t="s">
        <v>8</v>
      </c>
    </row>
    <row r="39" spans="2:4" x14ac:dyDescent="0.25">
      <c r="B39" t="s">
        <v>51</v>
      </c>
      <c r="C39" t="s">
        <v>27</v>
      </c>
    </row>
    <row r="40" spans="2:4" x14ac:dyDescent="0.25">
      <c r="C40" t="s">
        <v>28</v>
      </c>
      <c r="D40">
        <v>387</v>
      </c>
    </row>
    <row r="41" spans="2:4" x14ac:dyDescent="0.25">
      <c r="C41" t="s">
        <v>29</v>
      </c>
      <c r="D41">
        <v>421</v>
      </c>
    </row>
    <row r="42" spans="2:4" x14ac:dyDescent="0.25">
      <c r="C42" t="s">
        <v>30</v>
      </c>
      <c r="D42">
        <v>459</v>
      </c>
    </row>
    <row r="43" spans="2:4" x14ac:dyDescent="0.25">
      <c r="C43" t="s">
        <v>31</v>
      </c>
      <c r="D43">
        <v>483</v>
      </c>
    </row>
    <row r="47" spans="2:4" x14ac:dyDescent="0.25">
      <c r="B47" t="s">
        <v>52</v>
      </c>
      <c r="C47" t="s">
        <v>27</v>
      </c>
    </row>
    <row r="48" spans="2:4" x14ac:dyDescent="0.25">
      <c r="C48" t="s">
        <v>28</v>
      </c>
      <c r="D48">
        <v>368</v>
      </c>
    </row>
    <row r="51" spans="2:6" x14ac:dyDescent="0.25">
      <c r="B51" t="s">
        <v>53</v>
      </c>
      <c r="C51" t="s">
        <v>27</v>
      </c>
    </row>
    <row r="52" spans="2:6" x14ac:dyDescent="0.25">
      <c r="C52" t="s">
        <v>28</v>
      </c>
      <c r="D52">
        <v>551</v>
      </c>
    </row>
    <row r="54" spans="2:6" x14ac:dyDescent="0.25">
      <c r="B54" t="s">
        <v>54</v>
      </c>
      <c r="C54" t="s">
        <v>27</v>
      </c>
    </row>
    <row r="55" spans="2:6" x14ac:dyDescent="0.25">
      <c r="C55" t="s">
        <v>28</v>
      </c>
      <c r="D55">
        <v>345</v>
      </c>
      <c r="F55" t="s">
        <v>55</v>
      </c>
    </row>
    <row r="58" spans="2:6" x14ac:dyDescent="0.25">
      <c r="B58" s="4" t="s">
        <v>10</v>
      </c>
    </row>
    <row r="59" spans="2:6" x14ac:dyDescent="0.25">
      <c r="B59" t="s">
        <v>58</v>
      </c>
      <c r="C59" t="s">
        <v>27</v>
      </c>
    </row>
    <row r="60" spans="2:6" x14ac:dyDescent="0.25">
      <c r="C60" t="s">
        <v>28</v>
      </c>
      <c r="D60">
        <v>378</v>
      </c>
      <c r="F60" t="s">
        <v>59</v>
      </c>
    </row>
    <row r="63" spans="2:6" x14ac:dyDescent="0.25">
      <c r="B63" s="4" t="s">
        <v>61</v>
      </c>
    </row>
    <row r="64" spans="2:6" x14ac:dyDescent="0.25">
      <c r="B64" t="s">
        <v>53</v>
      </c>
      <c r="C64" t="s">
        <v>27</v>
      </c>
    </row>
    <row r="65" spans="3:4" x14ac:dyDescent="0.25">
      <c r="C65" t="s">
        <v>29</v>
      </c>
      <c r="D65">
        <v>577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E5538F7-18D3-46ED-A564-1153D6A854CE}">
            <xm:f>NOT(ISERROR(SEARCH($C$4,C1)))</xm:f>
            <xm:f>$C$4</xm:f>
            <x14:dxf>
              <fill>
                <patternFill>
                  <bgColor rgb="FF00B050"/>
                </patternFill>
              </fill>
            </x14:dxf>
          </x14:cfRule>
          <x14:cfRule type="containsText" priority="2" operator="containsText" id="{82B14EBB-F9EF-4F79-82D6-777BBCD58E89}">
            <xm:f>NOT(ISERROR(SEARCH($C$6,C1)))</xm:f>
            <xm:f>$C$6</xm:f>
            <x14:dxf>
              <fill>
                <patternFill>
                  <bgColor rgb="FFFF4747"/>
                </patternFill>
              </fill>
            </x14:dxf>
          </x14:cfRule>
          <xm:sqref>C1:C62 C64:C1048576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Sheet</vt:lpstr>
      <vt:lpstr>Player 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Olumhense Amanluoghe</dc:creator>
  <cp:lastModifiedBy>Olumhense Amanluoghe</cp:lastModifiedBy>
  <dcterms:created xsi:type="dcterms:W3CDTF">2026-01-08T05:48:54Z</dcterms:created>
  <dcterms:modified xsi:type="dcterms:W3CDTF">2026-01-09T06:23:43Z</dcterms:modified>
</cp:coreProperties>
</file>