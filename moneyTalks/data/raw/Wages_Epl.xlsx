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lumh\"/>
    </mc:Choice>
  </mc:AlternateContent>
  <xr:revisionPtr revIDLastSave="0" documentId="13_ncr:1_{34406348-F7E6-478B-A491-855B5730FA5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2013-2014" sheetId="1" r:id="rId1"/>
    <sheet name="2014-2015" sheetId="2" r:id="rId2"/>
    <sheet name="2015-2016" sheetId="3" r:id="rId3"/>
    <sheet name="2016-2017" sheetId="4" r:id="rId4"/>
    <sheet name="2017-2018" sheetId="5" r:id="rId5"/>
    <sheet name="2018-2019" sheetId="6" r:id="rId6"/>
    <sheet name="2019-2020" sheetId="7" r:id="rId7"/>
    <sheet name="2020-2021" sheetId="8" r:id="rId8"/>
    <sheet name="2021-2022" sheetId="9" r:id="rId9"/>
    <sheet name="2022-2023" sheetId="10" r:id="rId10"/>
    <sheet name="2023-2024" sheetId="11" r:id="rId11"/>
    <sheet name="2024-2025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29" i="12"/>
  <c r="E30" i="12"/>
  <c r="E31" i="12"/>
  <c r="E32" i="12"/>
  <c r="E33" i="12"/>
  <c r="E34" i="12"/>
  <c r="E35" i="12"/>
  <c r="E36" i="12"/>
  <c r="E28" i="12"/>
  <c r="E29" i="11"/>
  <c r="E30" i="11"/>
  <c r="E31" i="11"/>
  <c r="E32" i="11"/>
  <c r="E33" i="11"/>
  <c r="E34" i="11"/>
  <c r="E35" i="11"/>
  <c r="E36" i="11"/>
  <c r="E37" i="11"/>
  <c r="E28" i="10"/>
  <c r="E29" i="10"/>
  <c r="E30" i="10"/>
  <c r="E31" i="10"/>
  <c r="E32" i="10"/>
  <c r="E33" i="10"/>
  <c r="E34" i="10"/>
  <c r="E35" i="10"/>
  <c r="E36" i="10"/>
  <c r="E28" i="9"/>
  <c r="E29" i="9"/>
  <c r="E30" i="9"/>
  <c r="E31" i="9"/>
  <c r="E32" i="9"/>
  <c r="E33" i="9"/>
  <c r="E34" i="9"/>
  <c r="E35" i="9"/>
  <c r="E36" i="9"/>
  <c r="E29" i="8"/>
  <c r="E30" i="8"/>
  <c r="E31" i="8"/>
  <c r="E32" i="8"/>
  <c r="E33" i="8"/>
  <c r="E34" i="8"/>
  <c r="E35" i="8"/>
  <c r="E36" i="8"/>
  <c r="E37" i="8"/>
  <c r="E29" i="7"/>
  <c r="E30" i="7"/>
  <c r="E31" i="7"/>
  <c r="E32" i="7"/>
  <c r="E33" i="7"/>
  <c r="E34" i="7"/>
  <c r="E35" i="7"/>
  <c r="E36" i="7"/>
  <c r="E37" i="7"/>
  <c r="E30" i="6"/>
  <c r="E29" i="6"/>
  <c r="E31" i="6"/>
  <c r="E32" i="6"/>
  <c r="E33" i="6"/>
  <c r="E34" i="6"/>
  <c r="E35" i="6"/>
  <c r="E36" i="6"/>
  <c r="E37" i="6"/>
  <c r="E32" i="1"/>
  <c r="E31" i="5"/>
  <c r="E32" i="5"/>
  <c r="E33" i="5"/>
  <c r="E34" i="5"/>
  <c r="E35" i="5"/>
  <c r="E36" i="5"/>
  <c r="E37" i="5"/>
  <c r="E38" i="5"/>
  <c r="E30" i="5"/>
  <c r="F29" i="4"/>
  <c r="F30" i="4"/>
  <c r="F31" i="4"/>
  <c r="F32" i="4"/>
  <c r="F33" i="4"/>
  <c r="F34" i="4"/>
  <c r="F35" i="4"/>
  <c r="F36" i="4"/>
  <c r="F37" i="4"/>
  <c r="E29" i="3"/>
  <c r="E30" i="3"/>
  <c r="E31" i="3"/>
  <c r="E32" i="3"/>
  <c r="E33" i="3"/>
  <c r="E34" i="3"/>
  <c r="E35" i="3"/>
  <c r="E36" i="3"/>
  <c r="E37" i="3"/>
  <c r="E31" i="2"/>
  <c r="E32" i="2"/>
  <c r="E33" i="2"/>
  <c r="E34" i="2"/>
  <c r="E35" i="2"/>
  <c r="E36" i="2"/>
  <c r="E37" i="2"/>
  <c r="E38" i="2"/>
  <c r="E30" i="2"/>
  <c r="E40" i="1"/>
  <c r="E33" i="1"/>
  <c r="E34" i="1"/>
  <c r="E35" i="1"/>
  <c r="E36" i="1"/>
  <c r="E37" i="1"/>
  <c r="E38" i="1"/>
  <c r="E39" i="1"/>
  <c r="E25" i="12" a="1"/>
  <c r="E25" i="12" s="1"/>
  <c r="E26" i="12" s="1"/>
  <c r="E26" i="11" a="1"/>
  <c r="E26" i="11" s="1"/>
  <c r="E27" i="11" s="1"/>
  <c r="E25" i="10" a="1"/>
  <c r="E25" i="10" s="1"/>
  <c r="E26" i="10" s="1"/>
  <c r="E25" i="9" a="1"/>
  <c r="E25" i="9" s="1"/>
  <c r="E26" i="9" s="1"/>
  <c r="E25" i="8" a="1"/>
  <c r="E25" i="8" s="1"/>
  <c r="E26" i="8" s="1"/>
  <c r="E26" i="7" a="1"/>
  <c r="E26" i="7" s="1"/>
  <c r="E27" i="7" s="1"/>
  <c r="E25" i="6" a="1"/>
  <c r="E25" i="6" s="1"/>
  <c r="E26" i="6" s="1"/>
  <c r="E26" i="5" a="1"/>
  <c r="E26" i="5" s="1"/>
  <c r="E27" i="5" s="1"/>
  <c r="E26" i="3" a="1"/>
  <c r="E26" i="3" s="1"/>
  <c r="E27" i="3" s="1"/>
  <c r="F25" i="4" a="1"/>
  <c r="F25" i="4" s="1"/>
  <c r="F26" i="4" s="1"/>
  <c r="E27" i="2"/>
  <c r="E26" i="2" a="1"/>
  <c r="E26" i="2" s="1"/>
  <c r="E27" i="1" a="1"/>
  <c r="E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<sst xmlns="http://schemas.openxmlformats.org/spreadsheetml/2006/main" count="753" uniqueCount="102">
  <si>
    <t>Unnamed: 0_level_0_Club</t>
  </si>
  <si>
    <t>Unnamed: 1_level_0_Unnamed: 1_level_1</t>
  </si>
  <si>
    <t>Combined Payroll  Base salary only. Includes all players on club roster in a given season, including mid-season transfers. As a result, payroll estimates may be inflated from actual spending._Gross P/W (GBP)</t>
  </si>
  <si>
    <t>Combined Payroll  Base salary only. Includes all players on club roster in a given season, including mid-season transfers. As a result, payroll estimates may be inflated from actual spending._Gross P/Y (GBP)</t>
  </si>
  <si>
    <t>Inlfation (2025)_Adj. Gross (GBP)</t>
  </si>
  <si>
    <t>Position Groups_Keeper (GBP)</t>
  </si>
  <si>
    <t>Position Groups_Defense (GBP)</t>
  </si>
  <si>
    <t>Position Groups_Midfield (GBP)</t>
  </si>
  <si>
    <t>Position Groups_Forward (GBP)</t>
  </si>
  <si>
    <t>Manchester City</t>
  </si>
  <si>
    <t>MCI</t>
  </si>
  <si>
    <t>Chelsea</t>
  </si>
  <si>
    <t>CHE</t>
  </si>
  <si>
    <t>Manchester United</t>
  </si>
  <si>
    <t>MUN</t>
  </si>
  <si>
    <t>Arsenal</t>
  </si>
  <si>
    <t>ARS</t>
  </si>
  <si>
    <t>Liverpool</t>
  </si>
  <si>
    <t>LIV</t>
  </si>
  <si>
    <t>Tottenham</t>
  </si>
  <si>
    <t>TOT</t>
  </si>
  <si>
    <t>Everton</t>
  </si>
  <si>
    <t>EVE</t>
  </si>
  <si>
    <t>West Ham</t>
  </si>
  <si>
    <t>WHU</t>
  </si>
  <si>
    <t>Sunderland</t>
  </si>
  <si>
    <t>SUN</t>
  </si>
  <si>
    <t>Newcastle</t>
  </si>
  <si>
    <t>NEW</t>
  </si>
  <si>
    <t>West Bromwich</t>
  </si>
  <si>
    <t>WBA</t>
  </si>
  <si>
    <t>Stoke City</t>
  </si>
  <si>
    <t>STK</t>
  </si>
  <si>
    <t>Aston Villa</t>
  </si>
  <si>
    <t>AVA</t>
  </si>
  <si>
    <t>Fulham</t>
  </si>
  <si>
    <t>FUL</t>
  </si>
  <si>
    <t>Cardiff</t>
  </si>
  <si>
    <t>CDF</t>
  </si>
  <si>
    <t>Norwich</t>
  </si>
  <si>
    <t>NOR</t>
  </si>
  <si>
    <t>Southampton</t>
  </si>
  <si>
    <t>SOU</t>
  </si>
  <si>
    <t>Swansea</t>
  </si>
  <si>
    <t>SWA</t>
  </si>
  <si>
    <t>Hull City</t>
  </si>
  <si>
    <t>HUL</t>
  </si>
  <si>
    <t>Crystal Palace</t>
  </si>
  <si>
    <t>CRY</t>
  </si>
  <si>
    <t>Total</t>
  </si>
  <si>
    <t>QPR</t>
  </si>
  <si>
    <t>Leicester</t>
  </si>
  <si>
    <t>LEI</t>
  </si>
  <si>
    <t>Burnley</t>
  </si>
  <si>
    <t>RNL</t>
  </si>
  <si>
    <t>Watford</t>
  </si>
  <si>
    <t>WAT</t>
  </si>
  <si>
    <t>Bournemouth</t>
  </si>
  <si>
    <t>BOU</t>
  </si>
  <si>
    <t>£ 2,928,612</t>
  </si>
  <si>
    <t>£ 2,599,904</t>
  </si>
  <si>
    <t>£ 1,967,788</t>
  </si>
  <si>
    <t>£ 1,896,423</t>
  </si>
  <si>
    <t>£ 1,740,800</t>
  </si>
  <si>
    <t>£ 1,387,827</t>
  </si>
  <si>
    <t>£ 1,370,412</t>
  </si>
  <si>
    <t>£ 1,303,058</t>
  </si>
  <si>
    <t>£ 1,220,092</t>
  </si>
  <si>
    <t>£ 1,101,615</t>
  </si>
  <si>
    <t>£ 1,056,992</t>
  </si>
  <si>
    <t>£ 1,031,031</t>
  </si>
  <si>
    <t>£ 918,708</t>
  </si>
  <si>
    <t>£ 896,196</t>
  </si>
  <si>
    <t>£ 810,481</t>
  </si>
  <si>
    <t>£ 793,300</t>
  </si>
  <si>
    <t>£ 764,000</t>
  </si>
  <si>
    <t>Middlesbrough</t>
  </si>
  <si>
    <t>MID</t>
  </si>
  <si>
    <t>£ 747,462</t>
  </si>
  <si>
    <t>£ 651,865</t>
  </si>
  <si>
    <t>£ 473,500</t>
  </si>
  <si>
    <t>£ 25,660,066</t>
  </si>
  <si>
    <t>Brighton</t>
  </si>
  <si>
    <t>BHA</t>
  </si>
  <si>
    <t>Huddersfield</t>
  </si>
  <si>
    <t>HDD</t>
  </si>
  <si>
    <t>Wolverhampton</t>
  </si>
  <si>
    <t>WLV</t>
  </si>
  <si>
    <t>Sheffield United</t>
  </si>
  <si>
    <t>SHU</t>
  </si>
  <si>
    <t>Leeds</t>
  </si>
  <si>
    <t>LEE</t>
  </si>
  <si>
    <t>Brentford</t>
  </si>
  <si>
    <t>BTD</t>
  </si>
  <si>
    <t>Nottingham Forest</t>
  </si>
  <si>
    <t>NTG</t>
  </si>
  <si>
    <t>Luton Town</t>
  </si>
  <si>
    <t>LUT</t>
  </si>
  <si>
    <t>Ipswich Town</t>
  </si>
  <si>
    <t>IPS</t>
  </si>
  <si>
    <t>Total 9 teams</t>
  </si>
  <si>
    <t>Average of 9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</si>
</sst>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zoomScale="79" workbookViewId="0">
      <selection activeCell="F32" sqref="F32"/>
    </sheetView>
  </sheetViews>
  <sheetFormatPr defaultRowHeight="15" x14ac:dyDescent="0.25"/>
  <cols>
    <col min="1" max="1" width="24.5703125" bestFit="1" customWidth="1"/>
    <col min="2" max="2" width="8.28515625" customWidth="1"/>
    <col min="3" max="3" width="25.28515625" customWidth="1"/>
    <col min="4" max="4" width="27.7109375" customWidth="1"/>
    <col min="5" max="5" width="30.7109375" bestFit="1" customWidth="1"/>
    <col min="6" max="6" width="28.7109375" bestFit="1" customWidth="1"/>
    <col min="7" max="7" width="29.85546875" bestFit="1" customWidth="1"/>
    <col min="8" max="8" width="30.140625" bestFit="1" customWidth="1"/>
    <col min="9" max="9" width="29.710937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s="3">
        <v>2191385</v>
      </c>
      <c r="D2" s="3">
        <v>113952000</v>
      </c>
      <c r="E2" s="3">
        <v>147132001</v>
      </c>
      <c r="F2" s="3">
        <v>5616000</v>
      </c>
      <c r="G2" s="3">
        <v>40996000</v>
      </c>
      <c r="H2" s="3">
        <v>43420000</v>
      </c>
      <c r="I2" s="3">
        <v>23920000</v>
      </c>
    </row>
    <row r="3" spans="1:9" x14ac:dyDescent="0.25">
      <c r="A3" t="s">
        <v>11</v>
      </c>
      <c r="B3" t="s">
        <v>12</v>
      </c>
      <c r="C3" s="3">
        <v>2036769</v>
      </c>
      <c r="D3" s="3">
        <v>105912000</v>
      </c>
      <c r="E3" s="3">
        <v>136750953</v>
      </c>
      <c r="F3" s="3">
        <v>7124000</v>
      </c>
      <c r="G3" s="3">
        <v>32760000</v>
      </c>
      <c r="H3" s="3">
        <v>23192000</v>
      </c>
      <c r="I3" s="3">
        <v>42836000</v>
      </c>
    </row>
    <row r="4" spans="1:9" x14ac:dyDescent="0.25">
      <c r="A4" t="s">
        <v>13</v>
      </c>
      <c r="B4" t="s">
        <v>14</v>
      </c>
      <c r="C4" s="3">
        <v>1871000</v>
      </c>
      <c r="D4" s="3">
        <v>97292000</v>
      </c>
      <c r="E4" s="3">
        <v>125621023</v>
      </c>
      <c r="F4" s="3">
        <v>6656000</v>
      </c>
      <c r="G4" s="3">
        <v>33462000</v>
      </c>
      <c r="H4" s="3">
        <v>25480000</v>
      </c>
      <c r="I4" s="3">
        <v>31694000</v>
      </c>
    </row>
    <row r="5" spans="1:9" x14ac:dyDescent="0.25">
      <c r="A5" t="s">
        <v>15</v>
      </c>
      <c r="B5" t="s">
        <v>16</v>
      </c>
      <c r="C5" s="3">
        <v>1416746</v>
      </c>
      <c r="D5" s="3">
        <v>73670800</v>
      </c>
      <c r="E5" s="3">
        <v>95121913</v>
      </c>
      <c r="F5" s="3">
        <v>4492000</v>
      </c>
      <c r="G5" s="3">
        <v>16445000</v>
      </c>
      <c r="H5" s="3">
        <v>35365800</v>
      </c>
      <c r="I5" s="3">
        <v>17368000</v>
      </c>
    </row>
    <row r="6" spans="1:9" x14ac:dyDescent="0.25">
      <c r="A6" t="s">
        <v>17</v>
      </c>
      <c r="B6" t="s">
        <v>18</v>
      </c>
      <c r="C6" s="3">
        <v>1260819</v>
      </c>
      <c r="D6" s="3">
        <v>65562600</v>
      </c>
      <c r="E6" s="3">
        <v>84652806</v>
      </c>
      <c r="F6" s="3">
        <v>3380000</v>
      </c>
      <c r="G6" s="3">
        <v>25033800</v>
      </c>
      <c r="H6" s="3">
        <v>16764800</v>
      </c>
      <c r="I6" s="3">
        <v>20384000</v>
      </c>
    </row>
    <row r="7" spans="1:9" x14ac:dyDescent="0.25">
      <c r="A7" t="s">
        <v>19</v>
      </c>
      <c r="B7" t="s">
        <v>20</v>
      </c>
      <c r="C7" s="3">
        <v>1050242</v>
      </c>
      <c r="D7" s="3">
        <v>54612600</v>
      </c>
      <c r="E7" s="3">
        <v>70514439</v>
      </c>
      <c r="F7" s="3">
        <v>6890000</v>
      </c>
      <c r="G7" s="3">
        <v>10162800</v>
      </c>
      <c r="H7" s="3">
        <v>16551800</v>
      </c>
      <c r="I7" s="3">
        <v>21008000</v>
      </c>
    </row>
    <row r="8" spans="1:9" x14ac:dyDescent="0.25">
      <c r="A8" t="s">
        <v>21</v>
      </c>
      <c r="B8" t="s">
        <v>22</v>
      </c>
      <c r="C8" s="3">
        <v>1016477</v>
      </c>
      <c r="D8" s="3">
        <v>52856800</v>
      </c>
      <c r="E8" s="3">
        <v>68247394</v>
      </c>
      <c r="F8" s="3">
        <v>2018000</v>
      </c>
      <c r="G8" s="3">
        <v>14300000</v>
      </c>
      <c r="H8" s="3">
        <v>16714800</v>
      </c>
      <c r="I8" s="3">
        <v>19824000</v>
      </c>
    </row>
    <row r="9" spans="1:9" x14ac:dyDescent="0.25">
      <c r="A9" t="s">
        <v>23</v>
      </c>
      <c r="B9" t="s">
        <v>24</v>
      </c>
      <c r="C9" s="3">
        <v>909396</v>
      </c>
      <c r="D9" s="3">
        <v>47288600</v>
      </c>
      <c r="E9" s="3">
        <v>61057870</v>
      </c>
      <c r="F9" s="3">
        <v>3155000</v>
      </c>
      <c r="G9" s="3">
        <v>12135600</v>
      </c>
      <c r="H9" s="3">
        <v>18849000</v>
      </c>
      <c r="I9" s="3">
        <v>13149000</v>
      </c>
    </row>
    <row r="10" spans="1:9" x14ac:dyDescent="0.25">
      <c r="A10" t="s">
        <v>25</v>
      </c>
      <c r="B10" t="s">
        <v>26</v>
      </c>
      <c r="C10" s="3">
        <v>799327</v>
      </c>
      <c r="D10" s="3">
        <v>41565000</v>
      </c>
      <c r="E10" s="3">
        <v>53667701</v>
      </c>
      <c r="F10" s="3">
        <v>2444000</v>
      </c>
      <c r="G10" s="3">
        <v>13563000</v>
      </c>
      <c r="H10" s="3">
        <v>13224000</v>
      </c>
      <c r="I10" s="3">
        <v>12334000</v>
      </c>
    </row>
    <row r="11" spans="1:9" x14ac:dyDescent="0.25">
      <c r="A11" t="s">
        <v>27</v>
      </c>
      <c r="B11" t="s">
        <v>28</v>
      </c>
      <c r="C11" s="3">
        <v>701069</v>
      </c>
      <c r="D11" s="3">
        <v>36455600</v>
      </c>
      <c r="E11" s="3">
        <v>47070570</v>
      </c>
      <c r="F11" s="3">
        <v>1775000</v>
      </c>
      <c r="G11" s="3">
        <v>12666800</v>
      </c>
      <c r="H11" s="3">
        <v>11440000</v>
      </c>
      <c r="I11" s="3">
        <v>10573800</v>
      </c>
    </row>
    <row r="12" spans="1:9" x14ac:dyDescent="0.25">
      <c r="A12" t="s">
        <v>29</v>
      </c>
      <c r="B12" t="s">
        <v>30</v>
      </c>
      <c r="C12" s="3">
        <v>664288</v>
      </c>
      <c r="D12" s="3">
        <v>34543000</v>
      </c>
      <c r="E12" s="3">
        <v>44601067</v>
      </c>
      <c r="F12" s="3">
        <v>3159000</v>
      </c>
      <c r="G12" s="3">
        <v>10953000</v>
      </c>
      <c r="H12" s="3">
        <v>7982000</v>
      </c>
      <c r="I12" s="3">
        <v>12449000</v>
      </c>
    </row>
    <row r="13" spans="1:9" x14ac:dyDescent="0.25">
      <c r="A13" t="s">
        <v>31</v>
      </c>
      <c r="B13" t="s">
        <v>32</v>
      </c>
      <c r="C13" s="3">
        <v>652442</v>
      </c>
      <c r="D13" s="3">
        <v>33927000</v>
      </c>
      <c r="E13" s="3">
        <v>43805704</v>
      </c>
      <c r="F13" s="3">
        <v>2272000</v>
      </c>
      <c r="G13" s="3">
        <v>9204000</v>
      </c>
      <c r="H13" s="3">
        <v>9971000</v>
      </c>
      <c r="I13" s="3">
        <v>12480000</v>
      </c>
    </row>
    <row r="14" spans="1:9" x14ac:dyDescent="0.25">
      <c r="A14" t="s">
        <v>33</v>
      </c>
      <c r="B14" t="s">
        <v>34</v>
      </c>
      <c r="C14" s="3">
        <v>650500</v>
      </c>
      <c r="D14" s="3">
        <v>33826000</v>
      </c>
      <c r="E14" s="3">
        <v>43675294</v>
      </c>
      <c r="F14" s="3">
        <v>4004000</v>
      </c>
      <c r="G14" s="3">
        <v>11258000</v>
      </c>
      <c r="H14" s="3">
        <v>7228000</v>
      </c>
      <c r="I14" s="3">
        <v>11336000</v>
      </c>
    </row>
    <row r="15" spans="1:9" x14ac:dyDescent="0.25">
      <c r="A15" t="s">
        <v>35</v>
      </c>
      <c r="B15" t="s">
        <v>36</v>
      </c>
      <c r="C15" s="3">
        <v>641873</v>
      </c>
      <c r="D15" s="3">
        <v>33377400</v>
      </c>
      <c r="E15" s="3">
        <v>43096074</v>
      </c>
      <c r="F15" s="3">
        <v>2977000</v>
      </c>
      <c r="G15" s="3">
        <v>8655000</v>
      </c>
      <c r="H15" s="3">
        <v>14673800</v>
      </c>
      <c r="I15" s="3">
        <v>7071600</v>
      </c>
    </row>
    <row r="16" spans="1:9" x14ac:dyDescent="0.25">
      <c r="A16" t="s">
        <v>37</v>
      </c>
      <c r="B16" t="s">
        <v>38</v>
      </c>
      <c r="C16" s="3">
        <v>539462</v>
      </c>
      <c r="D16" s="3">
        <v>28052000</v>
      </c>
      <c r="E16" s="3">
        <v>36220051</v>
      </c>
      <c r="F16" s="3">
        <v>1768000</v>
      </c>
      <c r="G16" s="3">
        <v>8058000</v>
      </c>
      <c r="H16" s="3">
        <v>6916000</v>
      </c>
      <c r="I16" s="3">
        <v>11310000</v>
      </c>
    </row>
    <row r="17" spans="1:9" x14ac:dyDescent="0.25">
      <c r="A17" t="s">
        <v>39</v>
      </c>
      <c r="B17" t="s">
        <v>40</v>
      </c>
      <c r="C17" s="3">
        <v>535604</v>
      </c>
      <c r="D17" s="3">
        <v>27851400</v>
      </c>
      <c r="E17" s="3">
        <v>35961037</v>
      </c>
      <c r="F17" s="3">
        <v>2756000</v>
      </c>
      <c r="G17" s="3">
        <v>9712600</v>
      </c>
      <c r="H17" s="3">
        <v>7176000</v>
      </c>
      <c r="I17" s="3">
        <v>8206800</v>
      </c>
    </row>
    <row r="18" spans="1:9" x14ac:dyDescent="0.25">
      <c r="A18" t="s">
        <v>41</v>
      </c>
      <c r="B18" t="s">
        <v>42</v>
      </c>
      <c r="C18" s="3">
        <v>535392</v>
      </c>
      <c r="D18" s="3">
        <v>27840400</v>
      </c>
      <c r="E18" s="3">
        <v>35946835</v>
      </c>
      <c r="F18" s="3">
        <v>3562000</v>
      </c>
      <c r="G18" s="3">
        <v>8517600</v>
      </c>
      <c r="H18" s="3">
        <v>13343000</v>
      </c>
      <c r="I18" s="3">
        <v>2417800</v>
      </c>
    </row>
    <row r="19" spans="1:9" x14ac:dyDescent="0.25">
      <c r="A19" t="s">
        <v>43</v>
      </c>
      <c r="B19" t="s">
        <v>44</v>
      </c>
      <c r="C19" s="3">
        <v>412673</v>
      </c>
      <c r="D19" s="3">
        <v>21459000</v>
      </c>
      <c r="E19" s="3">
        <v>27707329</v>
      </c>
      <c r="F19" s="3">
        <v>2145000</v>
      </c>
      <c r="G19" s="3">
        <v>6812000</v>
      </c>
      <c r="H19" s="3">
        <v>3491000</v>
      </c>
      <c r="I19" s="3">
        <v>9011000</v>
      </c>
    </row>
    <row r="20" spans="1:9" x14ac:dyDescent="0.25">
      <c r="A20" t="s">
        <v>45</v>
      </c>
      <c r="B20" t="s">
        <v>46</v>
      </c>
      <c r="C20" s="3">
        <v>404308</v>
      </c>
      <c r="D20" s="3">
        <v>21024000</v>
      </c>
      <c r="E20" s="3">
        <v>27145670</v>
      </c>
      <c r="F20" s="3">
        <v>2496000</v>
      </c>
      <c r="G20" s="3">
        <v>7072000</v>
      </c>
      <c r="H20" s="3">
        <v>5460000</v>
      </c>
      <c r="I20" s="3">
        <v>5996000</v>
      </c>
    </row>
    <row r="21" spans="1:9" x14ac:dyDescent="0.25">
      <c r="A21" t="s">
        <v>47</v>
      </c>
      <c r="B21" t="s">
        <v>48</v>
      </c>
      <c r="C21" s="3">
        <v>372958</v>
      </c>
      <c r="D21" s="3">
        <v>19393800</v>
      </c>
      <c r="E21" s="3">
        <v>25040793</v>
      </c>
      <c r="F21" s="3">
        <v>2314000</v>
      </c>
      <c r="G21" s="3">
        <v>4839000</v>
      </c>
      <c r="H21" s="3">
        <v>5844800</v>
      </c>
      <c r="I21" s="3">
        <v>6396000</v>
      </c>
    </row>
    <row r="22" spans="1:9" x14ac:dyDescent="0.25">
      <c r="B22" t="s">
        <v>49</v>
      </c>
      <c r="C22" s="3">
        <v>18662730</v>
      </c>
      <c r="D22" s="3">
        <v>970462000</v>
      </c>
      <c r="E22" s="3">
        <v>1253036524</v>
      </c>
      <c r="F22" s="3">
        <v>71003000</v>
      </c>
      <c r="G22" s="3">
        <v>296606200</v>
      </c>
      <c r="H22" s="3">
        <v>303087800</v>
      </c>
      <c r="I22" s="3">
        <v>299765000</v>
      </c>
    </row>
    <row r="27" spans="1:9" x14ac:dyDescent="0.25">
      <c r="D27" t="s">
        <v>100</v>
      </c>
      <c r="E27" cm="1">
        <f t="array" ref="E27">SUM(SUMIF(A2:A21, {"*Arsenal*","*Everton*","*Liverpool*","*Manchester United*","*Tottenham*","*Chelsea*","*Manchester City*","*Crystal Palace*","*West Ham*"}, D2:D21))</f>
        <v>630541200</v>
      </c>
    </row>
    <row r="28" spans="1:9" x14ac:dyDescent="0.25">
      <c r="D28" t="s">
        <v>101</v>
      </c>
      <c r="E28">
        <f>E27/9</f>
        <v>70060133.333333328</v>
      </c>
    </row>
    <row r="32" spans="1:9" x14ac:dyDescent="0.25">
      <c r="D32" t="s">
        <v>15</v>
      </c>
      <c r="E32">
        <f>VLOOKUP(D32,$A$2:$D$21,4,FALSE)/$E$28</f>
        <v>1.0515366799187746</v>
      </c>
      <c r="F32" s="3"/>
    </row>
    <row r="33" spans="4:5" x14ac:dyDescent="0.25">
      <c r="D33" t="s">
        <v>21</v>
      </c>
      <c r="E33">
        <f t="shared" ref="E33:F39" si="0">VLOOKUP(D33,$A$2:$D$21,4,FALSE)/$E$28</f>
        <v>0.75444903520975315</v>
      </c>
    </row>
    <row r="34" spans="4:5" x14ac:dyDescent="0.25">
      <c r="D34" t="s">
        <v>17</v>
      </c>
      <c r="E34">
        <f t="shared" si="0"/>
        <v>0.93580467065435224</v>
      </c>
    </row>
    <row r="35" spans="4:5" x14ac:dyDescent="0.25">
      <c r="D35" t="s">
        <v>13</v>
      </c>
      <c r="E35">
        <f t="shared" si="0"/>
        <v>1.3886927610757236</v>
      </c>
    </row>
    <row r="36" spans="4:5" x14ac:dyDescent="0.25">
      <c r="D36" t="s">
        <v>19</v>
      </c>
      <c r="E36">
        <f t="shared" si="0"/>
        <v>0.77951036347823111</v>
      </c>
    </row>
    <row r="37" spans="4:5" x14ac:dyDescent="0.25">
      <c r="D37" t="s">
        <v>11</v>
      </c>
      <c r="E37">
        <f t="shared" si="0"/>
        <v>1.5117299234371997</v>
      </c>
    </row>
    <row r="38" spans="4:5" x14ac:dyDescent="0.25">
      <c r="D38" t="s">
        <v>47</v>
      </c>
      <c r="E38">
        <f t="shared" si="0"/>
        <v>0.27681648717006918</v>
      </c>
    </row>
    <row r="39" spans="4:5" x14ac:dyDescent="0.25">
      <c r="D39" t="s">
        <v>23</v>
      </c>
      <c r="E39">
        <f t="shared" si="0"/>
        <v>0.67497159582910682</v>
      </c>
    </row>
    <row r="40" spans="4:5" x14ac:dyDescent="0.25">
      <c r="D40" t="s">
        <v>9</v>
      </c>
      <c r="E40">
        <f>VLOOKUP(D40,$A$2:$D$21,4,FALSE)/$E$28</f>
        <v>1.6264884832267901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topLeftCell="A4" zoomScale="70" workbookViewId="0">
      <selection activeCell="E30" sqref="E30:E38"/>
    </sheetView>
  </sheetViews>
  <sheetFormatPr defaultRowHeight="15" x14ac:dyDescent="0.25"/>
  <cols>
    <col min="1" max="1" width="24.5703125" bestFit="1" customWidth="1"/>
    <col min="3" max="3" width="12.7109375" customWidth="1"/>
    <col min="4" max="4" width="19.28515625" customWidth="1"/>
    <col min="5" max="5" width="18.140625" customWidth="1"/>
    <col min="6" max="6" width="19" customWidth="1"/>
    <col min="7" max="7" width="13" customWidth="1"/>
    <col min="8" max="8" width="18.7109375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13</v>
      </c>
      <c r="B2" t="s">
        <v>14</v>
      </c>
      <c r="C2" s="4">
        <v>2751000</v>
      </c>
      <c r="D2" s="4">
        <v>143052000</v>
      </c>
      <c r="E2" s="4">
        <v>184027894</v>
      </c>
      <c r="F2" s="4">
        <v>10140000</v>
      </c>
      <c r="G2" s="4">
        <v>40404000</v>
      </c>
      <c r="H2" s="4">
        <v>29224000</v>
      </c>
      <c r="I2" s="4">
        <v>63284000</v>
      </c>
    </row>
    <row r="3" spans="1:9" x14ac:dyDescent="0.25">
      <c r="A3" t="s">
        <v>9</v>
      </c>
      <c r="B3" t="s">
        <v>10</v>
      </c>
      <c r="C3" s="4">
        <v>2361992</v>
      </c>
      <c r="D3" s="4">
        <v>122823600</v>
      </c>
      <c r="E3" s="4">
        <v>158005259</v>
      </c>
      <c r="F3" s="4">
        <v>9516000</v>
      </c>
      <c r="G3" s="4">
        <v>40292800</v>
      </c>
      <c r="H3" s="4">
        <v>45870800</v>
      </c>
      <c r="I3" s="4">
        <v>27144000</v>
      </c>
    </row>
    <row r="4" spans="1:9" x14ac:dyDescent="0.25">
      <c r="A4" t="s">
        <v>11</v>
      </c>
      <c r="B4" t="s">
        <v>12</v>
      </c>
      <c r="C4" s="4">
        <v>2012708</v>
      </c>
      <c r="D4" s="4">
        <v>104660800</v>
      </c>
      <c r="E4" s="4">
        <v>134639898</v>
      </c>
      <c r="F4" s="4">
        <v>12766000</v>
      </c>
      <c r="G4" s="4">
        <v>29120000</v>
      </c>
      <c r="H4" s="4">
        <v>25219000</v>
      </c>
      <c r="I4" s="4">
        <v>37555800</v>
      </c>
    </row>
    <row r="5" spans="1:9" x14ac:dyDescent="0.25">
      <c r="A5" t="s">
        <v>15</v>
      </c>
      <c r="B5" t="s">
        <v>16</v>
      </c>
      <c r="C5" s="4">
        <v>1820681</v>
      </c>
      <c r="D5" s="4">
        <v>94675400</v>
      </c>
      <c r="E5" s="4">
        <v>121794274</v>
      </c>
      <c r="F5" s="4">
        <v>7092800</v>
      </c>
      <c r="G5" s="4">
        <v>22565800</v>
      </c>
      <c r="H5" s="4">
        <v>39068800</v>
      </c>
      <c r="I5" s="4">
        <v>25948000</v>
      </c>
    </row>
    <row r="6" spans="1:9" x14ac:dyDescent="0.25">
      <c r="A6" t="s">
        <v>17</v>
      </c>
      <c r="B6" t="s">
        <v>18</v>
      </c>
      <c r="C6" s="4">
        <v>1572500</v>
      </c>
      <c r="D6" s="4">
        <v>81770000</v>
      </c>
      <c r="E6" s="4">
        <v>105192244</v>
      </c>
      <c r="F6" s="4">
        <v>3640000</v>
      </c>
      <c r="G6" s="4">
        <v>28236000</v>
      </c>
      <c r="H6" s="4">
        <v>23400000</v>
      </c>
      <c r="I6" s="4">
        <v>26494000</v>
      </c>
    </row>
    <row r="7" spans="1:9" x14ac:dyDescent="0.25">
      <c r="A7" t="s">
        <v>19</v>
      </c>
      <c r="B7" t="s">
        <v>20</v>
      </c>
      <c r="C7" s="4">
        <v>1301192</v>
      </c>
      <c r="D7" s="4">
        <v>67662000</v>
      </c>
      <c r="E7" s="4">
        <v>87043138</v>
      </c>
      <c r="F7" s="4">
        <v>7579000</v>
      </c>
      <c r="G7" s="4">
        <v>18275000</v>
      </c>
      <c r="H7" s="4">
        <v>17056000</v>
      </c>
      <c r="I7" s="4">
        <v>24752000</v>
      </c>
    </row>
    <row r="8" spans="1:9" x14ac:dyDescent="0.25">
      <c r="A8" t="s">
        <v>21</v>
      </c>
      <c r="B8" t="s">
        <v>22</v>
      </c>
      <c r="C8" s="4">
        <v>970935</v>
      </c>
      <c r="D8" s="4">
        <v>50488600</v>
      </c>
      <c r="E8" s="4">
        <v>64950585</v>
      </c>
      <c r="F8" s="4">
        <v>3058000</v>
      </c>
      <c r="G8" s="4">
        <v>16318000</v>
      </c>
      <c r="H8" s="4">
        <v>12719600</v>
      </c>
      <c r="I8" s="4">
        <v>18393000</v>
      </c>
    </row>
    <row r="9" spans="1:9" x14ac:dyDescent="0.25">
      <c r="A9" t="s">
        <v>23</v>
      </c>
      <c r="B9" t="s">
        <v>24</v>
      </c>
      <c r="C9" s="4">
        <v>874915</v>
      </c>
      <c r="D9" s="4">
        <v>45495600</v>
      </c>
      <c r="E9" s="4">
        <v>58527384</v>
      </c>
      <c r="F9" s="4">
        <v>2236000</v>
      </c>
      <c r="G9" s="4">
        <v>10740600</v>
      </c>
      <c r="H9" s="4">
        <v>18583000</v>
      </c>
      <c r="I9" s="4">
        <v>13936000</v>
      </c>
    </row>
    <row r="10" spans="1:9" x14ac:dyDescent="0.25">
      <c r="A10" t="s">
        <v>50</v>
      </c>
      <c r="B10" t="s">
        <v>50</v>
      </c>
      <c r="C10" s="4">
        <v>867515</v>
      </c>
      <c r="D10" s="4">
        <v>45110800</v>
      </c>
      <c r="E10" s="4">
        <v>58032359</v>
      </c>
      <c r="F10" s="4">
        <v>1326000</v>
      </c>
      <c r="G10" s="4">
        <v>12533000</v>
      </c>
      <c r="H10" s="4">
        <v>14217800</v>
      </c>
      <c r="I10" s="4">
        <v>17034000</v>
      </c>
    </row>
    <row r="11" spans="1:9" x14ac:dyDescent="0.25">
      <c r="A11" t="s">
        <v>41</v>
      </c>
      <c r="B11" t="s">
        <v>42</v>
      </c>
      <c r="C11" s="4">
        <v>837496</v>
      </c>
      <c r="D11" s="4">
        <v>43549800</v>
      </c>
      <c r="E11" s="4">
        <v>56024227</v>
      </c>
      <c r="F11" s="4">
        <v>3640000</v>
      </c>
      <c r="G11" s="4">
        <v>13584000</v>
      </c>
      <c r="H11" s="4">
        <v>12656800</v>
      </c>
      <c r="I11" s="4">
        <v>13669000</v>
      </c>
    </row>
    <row r="12" spans="1:9" x14ac:dyDescent="0.25">
      <c r="A12" t="s">
        <v>25</v>
      </c>
      <c r="B12" t="s">
        <v>26</v>
      </c>
      <c r="C12" s="4">
        <v>757808</v>
      </c>
      <c r="D12" s="4">
        <v>39406000</v>
      </c>
      <c r="E12" s="4">
        <v>50693478</v>
      </c>
      <c r="F12" s="4">
        <v>3120000</v>
      </c>
      <c r="G12" s="4">
        <v>11908000</v>
      </c>
      <c r="H12" s="4">
        <v>10468000</v>
      </c>
      <c r="I12" s="4">
        <v>13910000</v>
      </c>
    </row>
    <row r="13" spans="1:9" x14ac:dyDescent="0.25">
      <c r="A13" t="s">
        <v>45</v>
      </c>
      <c r="B13" t="s">
        <v>46</v>
      </c>
      <c r="C13" s="4">
        <v>707596</v>
      </c>
      <c r="D13" s="4">
        <v>36795000</v>
      </c>
      <c r="E13" s="4">
        <v>47334581</v>
      </c>
      <c r="F13" s="4">
        <v>2527000</v>
      </c>
      <c r="G13" s="4">
        <v>11284000</v>
      </c>
      <c r="H13" s="4">
        <v>10920000</v>
      </c>
      <c r="I13" s="4">
        <v>12064000</v>
      </c>
    </row>
    <row r="14" spans="1:9" x14ac:dyDescent="0.25">
      <c r="A14" t="s">
        <v>31</v>
      </c>
      <c r="B14" t="s">
        <v>32</v>
      </c>
      <c r="C14" s="4">
        <v>706342</v>
      </c>
      <c r="D14" s="4">
        <v>36729800</v>
      </c>
      <c r="E14" s="4">
        <v>47250705</v>
      </c>
      <c r="F14" s="4">
        <v>2210000</v>
      </c>
      <c r="G14" s="4">
        <v>12451000</v>
      </c>
      <c r="H14" s="4">
        <v>10290800</v>
      </c>
      <c r="I14" s="4">
        <v>11778000</v>
      </c>
    </row>
    <row r="15" spans="1:9" x14ac:dyDescent="0.25">
      <c r="A15" t="s">
        <v>29</v>
      </c>
      <c r="B15" t="s">
        <v>30</v>
      </c>
      <c r="C15" s="4">
        <v>682500</v>
      </c>
      <c r="D15" s="4">
        <v>35490000</v>
      </c>
      <c r="E15" s="4">
        <v>45655773</v>
      </c>
      <c r="F15" s="4">
        <v>3692000</v>
      </c>
      <c r="G15" s="4">
        <v>11024000</v>
      </c>
      <c r="H15" s="4">
        <v>13312000</v>
      </c>
      <c r="I15" s="4">
        <v>7462000</v>
      </c>
    </row>
    <row r="16" spans="1:9" x14ac:dyDescent="0.25">
      <c r="A16" t="s">
        <v>51</v>
      </c>
      <c r="B16" t="s">
        <v>52</v>
      </c>
      <c r="C16" s="4">
        <v>637654</v>
      </c>
      <c r="D16" s="4">
        <v>33158000</v>
      </c>
      <c r="E16" s="4">
        <v>42655795</v>
      </c>
      <c r="F16" s="4">
        <v>4139000</v>
      </c>
      <c r="G16" s="4">
        <v>9888000</v>
      </c>
      <c r="H16" s="4">
        <v>9277000</v>
      </c>
      <c r="I16" s="4">
        <v>9854000</v>
      </c>
    </row>
    <row r="17" spans="1:9" x14ac:dyDescent="0.25">
      <c r="A17" t="s">
        <v>33</v>
      </c>
      <c r="B17" t="s">
        <v>34</v>
      </c>
      <c r="C17" s="4">
        <v>637550</v>
      </c>
      <c r="D17" s="4">
        <v>33152600</v>
      </c>
      <c r="E17" s="4">
        <v>42648847</v>
      </c>
      <c r="F17" s="4">
        <v>4784000</v>
      </c>
      <c r="G17" s="4">
        <v>9867000</v>
      </c>
      <c r="H17" s="4">
        <v>10946000</v>
      </c>
      <c r="I17" s="4">
        <v>7555600</v>
      </c>
    </row>
    <row r="18" spans="1:9" x14ac:dyDescent="0.25">
      <c r="A18" t="s">
        <v>27</v>
      </c>
      <c r="B18" t="s">
        <v>28</v>
      </c>
      <c r="C18" s="4">
        <v>619727</v>
      </c>
      <c r="D18" s="4">
        <v>32225800</v>
      </c>
      <c r="E18" s="4">
        <v>41456576</v>
      </c>
      <c r="F18" s="4">
        <v>2769000</v>
      </c>
      <c r="G18" s="4">
        <v>10407800</v>
      </c>
      <c r="H18" s="4">
        <v>12345000</v>
      </c>
      <c r="I18" s="4">
        <v>6704000</v>
      </c>
    </row>
    <row r="19" spans="1:9" x14ac:dyDescent="0.25">
      <c r="A19" t="s">
        <v>47</v>
      </c>
      <c r="B19" t="s">
        <v>48</v>
      </c>
      <c r="C19" s="4">
        <v>609692</v>
      </c>
      <c r="D19" s="4">
        <v>31704000</v>
      </c>
      <c r="E19" s="4">
        <v>40785314</v>
      </c>
      <c r="F19" s="4">
        <v>2184000</v>
      </c>
      <c r="G19" s="4">
        <v>8060000</v>
      </c>
      <c r="H19" s="4">
        <v>9542000</v>
      </c>
      <c r="I19" s="4">
        <v>11918000</v>
      </c>
    </row>
    <row r="20" spans="1:9" x14ac:dyDescent="0.25">
      <c r="A20" t="s">
        <v>43</v>
      </c>
      <c r="B20" t="s">
        <v>44</v>
      </c>
      <c r="C20" s="4">
        <v>577288</v>
      </c>
      <c r="D20" s="4">
        <v>30019000</v>
      </c>
      <c r="E20" s="4">
        <v>38617657</v>
      </c>
      <c r="F20" s="4">
        <v>2730000</v>
      </c>
      <c r="G20" s="4">
        <v>8476000</v>
      </c>
      <c r="H20" s="4">
        <v>5349000</v>
      </c>
      <c r="I20" s="4">
        <v>13464000</v>
      </c>
    </row>
    <row r="21" spans="1:9" x14ac:dyDescent="0.25">
      <c r="A21" t="s">
        <v>53</v>
      </c>
      <c r="B21" t="s">
        <v>54</v>
      </c>
      <c r="C21" s="4">
        <v>299688</v>
      </c>
      <c r="D21" s="4">
        <v>15583800</v>
      </c>
      <c r="E21" s="4">
        <v>20047633</v>
      </c>
      <c r="F21" s="4">
        <v>1482000</v>
      </c>
      <c r="G21" s="4">
        <v>5701800</v>
      </c>
      <c r="H21" s="4">
        <v>3879000</v>
      </c>
      <c r="I21" s="4">
        <v>4521000</v>
      </c>
    </row>
    <row r="22" spans="1:9" x14ac:dyDescent="0.25">
      <c r="B22" t="s">
        <v>49</v>
      </c>
      <c r="C22" s="4">
        <v>21606779</v>
      </c>
      <c r="D22" s="4">
        <v>1123552600</v>
      </c>
      <c r="E22" s="4">
        <v>1445383621</v>
      </c>
      <c r="F22" s="4">
        <v>90630800</v>
      </c>
      <c r="G22" s="4">
        <v>331136800</v>
      </c>
      <c r="H22" s="4">
        <v>334344600</v>
      </c>
      <c r="I22" s="4">
        <v>367440400</v>
      </c>
    </row>
    <row r="26" spans="1:9" x14ac:dyDescent="0.25">
      <c r="D26" t="s">
        <v>100</v>
      </c>
      <c r="E26" cm="1">
        <f t="array" ref="E26">SUM(SUMIF(A2:A21, {"*Arsenal*","*Everton*","*Liverpool*","*Manchester United*","*Tottenham*","*Chelsea*","*Manchester City*","*Crystal Palace*","*West Ham*"}, D2:D21))</f>
        <v>742332000</v>
      </c>
    </row>
    <row r="27" spans="1:9" x14ac:dyDescent="0.25">
      <c r="D27" t="s">
        <v>101</v>
      </c>
      <c r="E27">
        <f>E26/9</f>
        <v>82481333.333333328</v>
      </c>
    </row>
    <row r="30" spans="1:9" x14ac:dyDescent="0.25">
      <c r="D30" t="s">
        <v>15</v>
      </c>
      <c r="E30">
        <f>VLOOKUP(D30,$A$2:$D$21,4,FALSE)/$E$27</f>
        <v>1.1478403194258096</v>
      </c>
    </row>
    <row r="31" spans="1:9" x14ac:dyDescent="0.25">
      <c r="D31" t="s">
        <v>21</v>
      </c>
      <c r="E31">
        <f t="shared" ref="E31:E38" si="0">VLOOKUP(D31,$A$2:$D$21,4,FALSE)/$E$27</f>
        <v>0.61212153052811957</v>
      </c>
    </row>
    <row r="32" spans="1:9" x14ac:dyDescent="0.25">
      <c r="D32" t="s">
        <v>17</v>
      </c>
      <c r="E32">
        <f t="shared" si="0"/>
        <v>0.99137582644962097</v>
      </c>
    </row>
    <row r="33" spans="4:5" x14ac:dyDescent="0.25">
      <c r="D33" t="s">
        <v>13</v>
      </c>
      <c r="E33">
        <f t="shared" si="0"/>
        <v>1.7343560563198139</v>
      </c>
    </row>
    <row r="34" spans="4:5" x14ac:dyDescent="0.25">
      <c r="D34" t="s">
        <v>19</v>
      </c>
      <c r="E34">
        <f t="shared" si="0"/>
        <v>0.82033106480658258</v>
      </c>
    </row>
    <row r="35" spans="4:5" x14ac:dyDescent="0.25">
      <c r="D35" t="s">
        <v>11</v>
      </c>
      <c r="E35">
        <f t="shared" si="0"/>
        <v>1.2689028628699828</v>
      </c>
    </row>
    <row r="36" spans="4:5" x14ac:dyDescent="0.25">
      <c r="D36" t="s">
        <v>47</v>
      </c>
      <c r="E36">
        <f t="shared" si="0"/>
        <v>0.38437787943938834</v>
      </c>
    </row>
    <row r="37" spans="4:5" x14ac:dyDescent="0.25">
      <c r="D37" t="s">
        <v>23</v>
      </c>
      <c r="E37">
        <f t="shared" si="0"/>
        <v>0.55158662161943717</v>
      </c>
    </row>
    <row r="38" spans="4:5" x14ac:dyDescent="0.25">
      <c r="D38" t="s">
        <v>9</v>
      </c>
      <c r="E38">
        <f t="shared" si="0"/>
        <v>1.4891078385412457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topLeftCell="A4" workbookViewId="0">
      <selection activeCell="E30" sqref="E30"/>
    </sheetView>
  </sheetViews>
  <sheetFormatPr defaultRowHeight="15" x14ac:dyDescent="0.25"/>
  <cols>
    <col min="1" max="1" width="24.5703125" bestFit="1" customWidth="1"/>
    <col min="3" max="3" width="13.28515625" customWidth="1"/>
    <col min="4" max="4" width="19.28515625" customWidth="1"/>
    <col min="5" max="5" width="14.5703125" customWidth="1"/>
    <col min="6" max="6" width="12.5703125" customWidth="1"/>
    <col min="7" max="8" width="12.7109375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s="4">
        <v>2443269</v>
      </c>
      <c r="D2" s="4">
        <v>127050000</v>
      </c>
      <c r="E2" s="4">
        <v>161810544</v>
      </c>
      <c r="F2" s="4">
        <v>9516000</v>
      </c>
      <c r="G2" s="4">
        <v>45980200</v>
      </c>
      <c r="H2" s="4">
        <v>48874800</v>
      </c>
      <c r="I2" s="4">
        <v>22679000</v>
      </c>
    </row>
    <row r="3" spans="1:9" x14ac:dyDescent="0.25">
      <c r="A3" t="s">
        <v>13</v>
      </c>
      <c r="B3" t="s">
        <v>14</v>
      </c>
      <c r="C3" s="4">
        <v>2370850</v>
      </c>
      <c r="D3" s="4">
        <v>123284200</v>
      </c>
      <c r="E3" s="4">
        <v>157014433</v>
      </c>
      <c r="F3" s="4">
        <v>14508000</v>
      </c>
      <c r="G3" s="4">
        <v>35612200</v>
      </c>
      <c r="H3" s="4">
        <v>44564000</v>
      </c>
      <c r="I3" s="4">
        <v>28600000</v>
      </c>
    </row>
    <row r="4" spans="1:9" x14ac:dyDescent="0.25">
      <c r="A4" t="s">
        <v>11</v>
      </c>
      <c r="B4" t="s">
        <v>12</v>
      </c>
      <c r="C4" s="4">
        <v>1922208</v>
      </c>
      <c r="D4" s="4">
        <v>99954800</v>
      </c>
      <c r="E4" s="4">
        <v>127302169</v>
      </c>
      <c r="F4" s="4">
        <v>8773000</v>
      </c>
      <c r="G4" s="4">
        <v>25708800</v>
      </c>
      <c r="H4" s="4">
        <v>22063000</v>
      </c>
      <c r="I4" s="4">
        <v>43410000</v>
      </c>
    </row>
    <row r="5" spans="1:9" x14ac:dyDescent="0.25">
      <c r="A5" t="s">
        <v>15</v>
      </c>
      <c r="B5" t="s">
        <v>16</v>
      </c>
      <c r="C5" s="4">
        <v>1861181</v>
      </c>
      <c r="D5" s="4">
        <v>96781400</v>
      </c>
      <c r="E5" s="4">
        <v>123260538</v>
      </c>
      <c r="F5" s="4">
        <v>8112000</v>
      </c>
      <c r="G5" s="4">
        <v>23361800</v>
      </c>
      <c r="H5" s="4">
        <v>37362800</v>
      </c>
      <c r="I5" s="4">
        <v>27944800</v>
      </c>
    </row>
    <row r="6" spans="1:9" x14ac:dyDescent="0.25">
      <c r="A6" t="s">
        <v>17</v>
      </c>
      <c r="B6" t="s">
        <v>18</v>
      </c>
      <c r="C6" s="4">
        <v>1801400</v>
      </c>
      <c r="D6" s="4">
        <v>93672800</v>
      </c>
      <c r="E6" s="4">
        <v>119301432</v>
      </c>
      <c r="F6" s="4">
        <v>4602000</v>
      </c>
      <c r="G6" s="4">
        <v>32546800</v>
      </c>
      <c r="H6" s="4">
        <v>26312000</v>
      </c>
      <c r="I6" s="4">
        <v>30212000</v>
      </c>
    </row>
    <row r="7" spans="1:9" x14ac:dyDescent="0.25">
      <c r="A7" t="s">
        <v>21</v>
      </c>
      <c r="B7" t="s">
        <v>22</v>
      </c>
      <c r="C7" s="4">
        <v>1066808</v>
      </c>
      <c r="D7" s="4">
        <v>55474000</v>
      </c>
      <c r="E7" s="4">
        <v>70651540</v>
      </c>
      <c r="F7" s="4">
        <v>3068000</v>
      </c>
      <c r="G7" s="4">
        <v>16640000</v>
      </c>
      <c r="H7" s="4">
        <v>15850000</v>
      </c>
      <c r="I7" s="4">
        <v>19916000</v>
      </c>
    </row>
    <row r="8" spans="1:9" x14ac:dyDescent="0.25">
      <c r="A8" t="s">
        <v>47</v>
      </c>
      <c r="B8" t="s">
        <v>48</v>
      </c>
      <c r="C8" s="4">
        <v>1032400</v>
      </c>
      <c r="D8" s="4">
        <v>53684800</v>
      </c>
      <c r="E8" s="4">
        <v>68372822</v>
      </c>
      <c r="F8" s="4">
        <v>4108000</v>
      </c>
      <c r="G8" s="4">
        <v>13572000</v>
      </c>
      <c r="H8" s="4">
        <v>14352800</v>
      </c>
      <c r="I8" s="4">
        <v>21652000</v>
      </c>
    </row>
    <row r="9" spans="1:9" x14ac:dyDescent="0.25">
      <c r="A9" t="s">
        <v>19</v>
      </c>
      <c r="B9" t="s">
        <v>20</v>
      </c>
      <c r="C9" s="4">
        <v>1027535</v>
      </c>
      <c r="D9" s="4">
        <v>53431800</v>
      </c>
      <c r="E9" s="4">
        <v>68050598</v>
      </c>
      <c r="F9" s="4">
        <v>6500000</v>
      </c>
      <c r="G9" s="4">
        <v>16251800</v>
      </c>
      <c r="H9" s="4">
        <v>14300000</v>
      </c>
      <c r="I9" s="4">
        <v>16380000</v>
      </c>
    </row>
    <row r="10" spans="1:9" x14ac:dyDescent="0.25">
      <c r="A10" t="s">
        <v>23</v>
      </c>
      <c r="B10" t="s">
        <v>24</v>
      </c>
      <c r="C10" s="4">
        <v>1016600</v>
      </c>
      <c r="D10" s="4">
        <v>52863200</v>
      </c>
      <c r="E10" s="4">
        <v>67326435</v>
      </c>
      <c r="F10" s="4">
        <v>2360800</v>
      </c>
      <c r="G10" s="4">
        <v>17879600</v>
      </c>
      <c r="H10" s="4">
        <v>19217800</v>
      </c>
      <c r="I10" s="4">
        <v>13405000</v>
      </c>
    </row>
    <row r="11" spans="1:9" x14ac:dyDescent="0.25">
      <c r="A11" t="s">
        <v>27</v>
      </c>
      <c r="B11" t="s">
        <v>28</v>
      </c>
      <c r="C11" s="4">
        <v>907515</v>
      </c>
      <c r="D11" s="4">
        <v>47190800</v>
      </c>
      <c r="E11" s="4">
        <v>60102081</v>
      </c>
      <c r="F11" s="4">
        <v>3978000</v>
      </c>
      <c r="G11" s="4">
        <v>11418800</v>
      </c>
      <c r="H11" s="4">
        <v>16900000</v>
      </c>
      <c r="I11" s="4">
        <v>14894000</v>
      </c>
    </row>
    <row r="12" spans="1:9" x14ac:dyDescent="0.25">
      <c r="A12" t="s">
        <v>25</v>
      </c>
      <c r="B12" t="s">
        <v>26</v>
      </c>
      <c r="C12" s="4">
        <v>891631</v>
      </c>
      <c r="D12" s="4">
        <v>46364800</v>
      </c>
      <c r="E12" s="4">
        <v>59050090</v>
      </c>
      <c r="F12" s="4">
        <v>4030000</v>
      </c>
      <c r="G12" s="4">
        <v>12890800</v>
      </c>
      <c r="H12" s="4">
        <v>12652000</v>
      </c>
      <c r="I12" s="4">
        <v>16792000</v>
      </c>
    </row>
    <row r="13" spans="1:9" x14ac:dyDescent="0.25">
      <c r="A13" t="s">
        <v>41</v>
      </c>
      <c r="B13" t="s">
        <v>42</v>
      </c>
      <c r="C13" s="4">
        <v>853900</v>
      </c>
      <c r="D13" s="4">
        <v>44402800</v>
      </c>
      <c r="E13" s="4">
        <v>56551292</v>
      </c>
      <c r="F13" s="4">
        <v>5330000</v>
      </c>
      <c r="G13" s="4">
        <v>14560000</v>
      </c>
      <c r="H13" s="4">
        <v>10036000</v>
      </c>
      <c r="I13" s="4">
        <v>14476800</v>
      </c>
    </row>
    <row r="14" spans="1:9" x14ac:dyDescent="0.25">
      <c r="A14" t="s">
        <v>31</v>
      </c>
      <c r="B14" t="s">
        <v>32</v>
      </c>
      <c r="C14" s="4">
        <v>813231</v>
      </c>
      <c r="D14" s="4">
        <v>42288000</v>
      </c>
      <c r="E14" s="4">
        <v>53857887</v>
      </c>
      <c r="F14" s="4">
        <v>2662000</v>
      </c>
      <c r="G14" s="4">
        <v>13182000</v>
      </c>
      <c r="H14" s="4">
        <v>10506000</v>
      </c>
      <c r="I14" s="4">
        <v>15938000</v>
      </c>
    </row>
    <row r="15" spans="1:9" x14ac:dyDescent="0.25">
      <c r="A15" t="s">
        <v>29</v>
      </c>
      <c r="B15" t="s">
        <v>30</v>
      </c>
      <c r="C15" s="4">
        <v>805000</v>
      </c>
      <c r="D15" s="4">
        <v>41860000</v>
      </c>
      <c r="E15" s="4">
        <v>53312789</v>
      </c>
      <c r="F15" s="4">
        <v>3666000</v>
      </c>
      <c r="G15" s="4">
        <v>13754000</v>
      </c>
      <c r="H15" s="4">
        <v>12282400</v>
      </c>
      <c r="I15" s="4">
        <v>12157600</v>
      </c>
    </row>
    <row r="16" spans="1:9" x14ac:dyDescent="0.25">
      <c r="A16" t="s">
        <v>43</v>
      </c>
      <c r="B16" t="s">
        <v>44</v>
      </c>
      <c r="C16" s="4">
        <v>781000</v>
      </c>
      <c r="D16" s="4">
        <v>40612000</v>
      </c>
      <c r="E16" s="4">
        <v>51723334</v>
      </c>
      <c r="F16" s="4">
        <v>3926000</v>
      </c>
      <c r="G16" s="4">
        <v>12363000</v>
      </c>
      <c r="H16" s="4">
        <v>9204000</v>
      </c>
      <c r="I16" s="4">
        <v>15119000</v>
      </c>
    </row>
    <row r="17" spans="1:9" x14ac:dyDescent="0.25">
      <c r="A17" t="s">
        <v>51</v>
      </c>
      <c r="B17" t="s">
        <v>52</v>
      </c>
      <c r="C17" s="4">
        <v>739400</v>
      </c>
      <c r="D17" s="4">
        <v>38448800</v>
      </c>
      <c r="E17" s="4">
        <v>48968291</v>
      </c>
      <c r="F17" s="4">
        <v>4095000</v>
      </c>
      <c r="G17" s="4">
        <v>8470800</v>
      </c>
      <c r="H17" s="4">
        <v>12740000</v>
      </c>
      <c r="I17" s="4">
        <v>13143000</v>
      </c>
    </row>
    <row r="18" spans="1:9" x14ac:dyDescent="0.25">
      <c r="A18" t="s">
        <v>33</v>
      </c>
      <c r="B18" t="s">
        <v>34</v>
      </c>
      <c r="C18" s="4">
        <v>715000</v>
      </c>
      <c r="D18" s="4">
        <v>37180000</v>
      </c>
      <c r="E18" s="4">
        <v>47352355</v>
      </c>
      <c r="F18" s="4">
        <v>2860000</v>
      </c>
      <c r="G18" s="4">
        <v>15022800</v>
      </c>
      <c r="H18" s="4">
        <v>10010000</v>
      </c>
      <c r="I18" s="4">
        <v>9287200</v>
      </c>
    </row>
    <row r="19" spans="1:9" x14ac:dyDescent="0.25">
      <c r="A19" t="s">
        <v>39</v>
      </c>
      <c r="B19" t="s">
        <v>40</v>
      </c>
      <c r="C19" s="4">
        <v>628000</v>
      </c>
      <c r="D19" s="4">
        <v>32656000</v>
      </c>
      <c r="E19" s="4">
        <v>41590597</v>
      </c>
      <c r="F19" s="4">
        <v>3120000</v>
      </c>
      <c r="G19" s="4">
        <v>10088000</v>
      </c>
      <c r="H19" s="4">
        <v>7800000</v>
      </c>
      <c r="I19" s="4">
        <v>11648000</v>
      </c>
    </row>
    <row r="20" spans="1:9" x14ac:dyDescent="0.25">
      <c r="A20" t="s">
        <v>55</v>
      </c>
      <c r="B20" t="s">
        <v>56</v>
      </c>
      <c r="C20" s="4">
        <v>598058</v>
      </c>
      <c r="D20" s="4">
        <v>31099000</v>
      </c>
      <c r="E20" s="4">
        <v>39607605</v>
      </c>
      <c r="F20" s="4">
        <v>2176000</v>
      </c>
      <c r="G20" s="4">
        <v>8892000</v>
      </c>
      <c r="H20" s="4">
        <v>12610000</v>
      </c>
      <c r="I20" s="4">
        <v>7421000</v>
      </c>
    </row>
    <row r="21" spans="1:9" x14ac:dyDescent="0.25">
      <c r="A21" t="s">
        <v>57</v>
      </c>
      <c r="B21" t="s">
        <v>58</v>
      </c>
      <c r="C21" s="4">
        <v>511935</v>
      </c>
      <c r="D21" s="4">
        <v>26620600</v>
      </c>
      <c r="E21" s="4">
        <v>33903931</v>
      </c>
      <c r="F21" s="4">
        <v>3265600</v>
      </c>
      <c r="G21" s="4">
        <v>7597400</v>
      </c>
      <c r="H21" s="4">
        <v>4384000</v>
      </c>
      <c r="I21" s="4">
        <v>11373600</v>
      </c>
    </row>
    <row r="22" spans="1:9" x14ac:dyDescent="0.25">
      <c r="B22" t="s">
        <v>49</v>
      </c>
      <c r="C22" s="4">
        <v>22786921</v>
      </c>
      <c r="D22" s="4">
        <v>1184919800</v>
      </c>
      <c r="E22" s="4">
        <v>1509110763</v>
      </c>
      <c r="F22" s="4">
        <v>100656400</v>
      </c>
      <c r="G22" s="4">
        <v>355792800</v>
      </c>
      <c r="H22" s="4">
        <v>362021600</v>
      </c>
      <c r="I22" s="4">
        <v>366449000</v>
      </c>
    </row>
    <row r="26" spans="1:9" x14ac:dyDescent="0.25">
      <c r="D26" t="s">
        <v>100</v>
      </c>
      <c r="E26" cm="1">
        <f t="array" ref="E26">SUM(SUMIF(A2:A21, {"*Arsenal*","*Everton*","*Liverpool*","*Manchester United*","*Tottenham*","*Chelsea*","*Manchester City*","*Crystal Palace*","*West Ham*"}, D2:D21))</f>
        <v>756197000</v>
      </c>
    </row>
    <row r="27" spans="1:9" x14ac:dyDescent="0.25">
      <c r="D27" t="s">
        <v>101</v>
      </c>
      <c r="E27">
        <f>E26/9</f>
        <v>84021888.888888896</v>
      </c>
    </row>
    <row r="29" spans="1:9" x14ac:dyDescent="0.25">
      <c r="D29" t="s">
        <v>15</v>
      </c>
      <c r="E29">
        <f>VLOOKUP(D29,$A$2:$D$21,4,FALSE)/$E$27</f>
        <v>1.151859369978987</v>
      </c>
    </row>
    <row r="30" spans="1:9" x14ac:dyDescent="0.25">
      <c r="D30" t="s">
        <v>21</v>
      </c>
      <c r="E30">
        <f t="shared" ref="E30:E37" si="0">VLOOKUP(D30,$A$2:$D$21,4,FALSE)/$E$27</f>
        <v>0.66023271713587861</v>
      </c>
    </row>
    <row r="31" spans="1:9" x14ac:dyDescent="0.25">
      <c r="D31" t="s">
        <v>17</v>
      </c>
      <c r="E31">
        <f t="shared" si="0"/>
        <v>1.1148618680052949</v>
      </c>
    </row>
    <row r="32" spans="1:9" x14ac:dyDescent="0.25">
      <c r="D32" t="s">
        <v>13</v>
      </c>
      <c r="E32">
        <f t="shared" si="0"/>
        <v>1.4672866991008955</v>
      </c>
    </row>
    <row r="33" spans="4:5" x14ac:dyDescent="0.25">
      <c r="D33" t="s">
        <v>19</v>
      </c>
      <c r="E33">
        <f t="shared" si="0"/>
        <v>0.63592714596857691</v>
      </c>
    </row>
    <row r="34" spans="4:5" x14ac:dyDescent="0.25">
      <c r="D34" t="s">
        <v>11</v>
      </c>
      <c r="E34">
        <f t="shared" si="0"/>
        <v>1.189628099556068</v>
      </c>
    </row>
    <row r="35" spans="4:5" x14ac:dyDescent="0.25">
      <c r="D35" t="s">
        <v>47</v>
      </c>
      <c r="E35">
        <f t="shared" si="0"/>
        <v>0.6389382660867472</v>
      </c>
    </row>
    <row r="36" spans="4:5" x14ac:dyDescent="0.25">
      <c r="D36" t="s">
        <v>23</v>
      </c>
      <c r="E36">
        <f t="shared" si="0"/>
        <v>0.62915986178204886</v>
      </c>
    </row>
    <row r="37" spans="4:5" x14ac:dyDescent="0.25">
      <c r="D37" t="s">
        <v>9</v>
      </c>
      <c r="E37">
        <f t="shared" si="0"/>
        <v>1.5121059723855026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topLeftCell="A5" workbookViewId="0">
      <selection activeCell="F30" sqref="F30"/>
    </sheetView>
  </sheetViews>
  <sheetFormatPr defaultRowHeight="15" x14ac:dyDescent="0.25"/>
  <cols>
    <col min="1" max="1" width="24.5703125" bestFit="1" customWidth="1"/>
    <col min="3" max="3" width="16.7109375" customWidth="1"/>
    <col min="4" max="4" width="15.85546875" customWidth="1"/>
    <col min="5" max="6" width="17" customWidth="1"/>
    <col min="7" max="7" width="11.5703125" customWidth="1"/>
    <col min="8" max="8" width="13.5703125" customWidth="1"/>
    <col min="9" max="9" width="12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13</v>
      </c>
      <c r="B2" t="s">
        <v>14</v>
      </c>
      <c r="C2" t="s">
        <v>59</v>
      </c>
      <c r="D2" s="4">
        <v>152287800</v>
      </c>
      <c r="E2" s="4">
        <v>189116211</v>
      </c>
      <c r="F2" s="4">
        <v>14126000</v>
      </c>
      <c r="G2" s="4">
        <v>40079000</v>
      </c>
      <c r="H2" s="4">
        <v>62420800</v>
      </c>
      <c r="I2" s="4">
        <v>35662000</v>
      </c>
    </row>
    <row r="3" spans="1:9" x14ac:dyDescent="0.25">
      <c r="A3" t="s">
        <v>9</v>
      </c>
      <c r="B3" t="s">
        <v>10</v>
      </c>
      <c r="C3" t="s">
        <v>60</v>
      </c>
      <c r="D3" s="4">
        <v>135195000</v>
      </c>
      <c r="E3" s="4">
        <v>167889783</v>
      </c>
      <c r="F3" s="4">
        <v>8528000</v>
      </c>
      <c r="G3" s="4">
        <v>43685400</v>
      </c>
      <c r="H3" s="4">
        <v>45000800</v>
      </c>
      <c r="I3" s="4">
        <v>37980800</v>
      </c>
    </row>
    <row r="4" spans="1:9" x14ac:dyDescent="0.25">
      <c r="A4" t="s">
        <v>15</v>
      </c>
      <c r="B4" t="s">
        <v>16</v>
      </c>
      <c r="C4" t="s">
        <v>61</v>
      </c>
      <c r="D4" s="4">
        <v>102325000</v>
      </c>
      <c r="E4" s="4">
        <v>127070690</v>
      </c>
      <c r="F4" s="4">
        <v>8320000</v>
      </c>
      <c r="G4" s="4">
        <v>32379000</v>
      </c>
      <c r="H4" s="4">
        <v>33390000</v>
      </c>
      <c r="I4" s="4">
        <v>28236000</v>
      </c>
    </row>
    <row r="5" spans="1:9" x14ac:dyDescent="0.25">
      <c r="A5" t="s">
        <v>11</v>
      </c>
      <c r="B5" t="s">
        <v>12</v>
      </c>
      <c r="C5" t="s">
        <v>62</v>
      </c>
      <c r="D5" s="4">
        <v>98614000</v>
      </c>
      <c r="E5" s="4">
        <v>122462245</v>
      </c>
      <c r="F5" s="4">
        <v>9360000</v>
      </c>
      <c r="G5" s="4">
        <v>22704000</v>
      </c>
      <c r="H5" s="4">
        <v>26713000</v>
      </c>
      <c r="I5" s="4">
        <v>39837000</v>
      </c>
    </row>
    <row r="6" spans="1:9" x14ac:dyDescent="0.25">
      <c r="A6" t="s">
        <v>17</v>
      </c>
      <c r="B6" t="s">
        <v>18</v>
      </c>
      <c r="C6" t="s">
        <v>63</v>
      </c>
      <c r="D6" s="4">
        <v>90521600</v>
      </c>
      <c r="E6" s="4">
        <v>112412826</v>
      </c>
      <c r="F6" s="4">
        <v>8840000</v>
      </c>
      <c r="G6" s="4">
        <v>20410000</v>
      </c>
      <c r="H6" s="4">
        <v>27768000</v>
      </c>
      <c r="I6" s="4">
        <v>33503600</v>
      </c>
    </row>
    <row r="7" spans="1:9" x14ac:dyDescent="0.25">
      <c r="A7" t="s">
        <v>47</v>
      </c>
      <c r="B7" t="s">
        <v>48</v>
      </c>
      <c r="C7" t="s">
        <v>64</v>
      </c>
      <c r="D7" s="4">
        <v>72167000</v>
      </c>
      <c r="E7" s="4">
        <v>89619456</v>
      </c>
      <c r="F7" s="4">
        <v>6016000</v>
      </c>
      <c r="G7" s="4">
        <v>20826000</v>
      </c>
      <c r="H7" s="4">
        <v>18286000</v>
      </c>
      <c r="I7" s="4">
        <v>27039000</v>
      </c>
    </row>
    <row r="8" spans="1:9" x14ac:dyDescent="0.25">
      <c r="A8" t="s">
        <v>19</v>
      </c>
      <c r="B8" t="s">
        <v>20</v>
      </c>
      <c r="C8" t="s">
        <v>65</v>
      </c>
      <c r="D8" s="4">
        <v>71261400</v>
      </c>
      <c r="E8" s="4">
        <v>88494848</v>
      </c>
      <c r="F8" s="4">
        <v>9024800</v>
      </c>
      <c r="G8" s="4">
        <v>21336000</v>
      </c>
      <c r="H8" s="4">
        <v>25259000</v>
      </c>
      <c r="I8" s="4">
        <v>15641600</v>
      </c>
    </row>
    <row r="9" spans="1:9" x14ac:dyDescent="0.25">
      <c r="A9" t="s">
        <v>21</v>
      </c>
      <c r="B9" t="s">
        <v>22</v>
      </c>
      <c r="C9" t="s">
        <v>66</v>
      </c>
      <c r="D9" s="4">
        <v>67759000</v>
      </c>
      <c r="E9" s="4">
        <v>84145449</v>
      </c>
      <c r="F9" s="4">
        <v>2639000</v>
      </c>
      <c r="G9" s="4">
        <v>19422000</v>
      </c>
      <c r="H9" s="4">
        <v>23078000</v>
      </c>
      <c r="I9" s="4">
        <v>22620000</v>
      </c>
    </row>
    <row r="10" spans="1:9" x14ac:dyDescent="0.25">
      <c r="A10" t="s">
        <v>51</v>
      </c>
      <c r="B10" t="s">
        <v>52</v>
      </c>
      <c r="C10" t="s">
        <v>67</v>
      </c>
      <c r="D10" s="4">
        <v>63444800</v>
      </c>
      <c r="E10" s="4">
        <v>78787926</v>
      </c>
      <c r="F10" s="4">
        <v>7384000</v>
      </c>
      <c r="G10" s="4">
        <v>15344800</v>
      </c>
      <c r="H10" s="4">
        <v>18252000</v>
      </c>
      <c r="I10" s="4">
        <v>22464000</v>
      </c>
    </row>
    <row r="11" spans="1:9" x14ac:dyDescent="0.25">
      <c r="A11" t="s">
        <v>41</v>
      </c>
      <c r="B11" t="s">
        <v>42</v>
      </c>
      <c r="C11" t="s">
        <v>68</v>
      </c>
      <c r="D11" s="4">
        <v>57284000</v>
      </c>
      <c r="E11" s="4">
        <v>71137235</v>
      </c>
      <c r="F11" s="4">
        <v>5648000</v>
      </c>
      <c r="G11" s="4">
        <v>21372000</v>
      </c>
      <c r="H11" s="4">
        <v>10452000</v>
      </c>
      <c r="I11" s="4">
        <v>19812000</v>
      </c>
    </row>
    <row r="12" spans="1:9" x14ac:dyDescent="0.25">
      <c r="A12" t="s">
        <v>23</v>
      </c>
      <c r="B12" t="s">
        <v>24</v>
      </c>
      <c r="C12" t="s">
        <v>69</v>
      </c>
      <c r="D12" s="4">
        <v>54963600</v>
      </c>
      <c r="E12" s="4">
        <v>68255681</v>
      </c>
      <c r="F12" s="4">
        <v>2392000</v>
      </c>
      <c r="G12" s="4">
        <v>20592000</v>
      </c>
      <c r="H12" s="4">
        <v>10467800</v>
      </c>
      <c r="I12" s="4">
        <v>21511800</v>
      </c>
    </row>
    <row r="13" spans="1:9" x14ac:dyDescent="0.25">
      <c r="A13" t="s">
        <v>31</v>
      </c>
      <c r="B13" t="s">
        <v>32</v>
      </c>
      <c r="C13" t="s">
        <v>70</v>
      </c>
      <c r="D13" s="4">
        <v>53613600</v>
      </c>
      <c r="E13" s="4">
        <v>66579203</v>
      </c>
      <c r="F13" s="4">
        <v>4550000</v>
      </c>
      <c r="G13" s="4">
        <v>10328800</v>
      </c>
      <c r="H13" s="4">
        <v>13780000</v>
      </c>
      <c r="I13" s="4">
        <v>24954800</v>
      </c>
    </row>
    <row r="14" spans="1:9" x14ac:dyDescent="0.25">
      <c r="A14" t="s">
        <v>25</v>
      </c>
      <c r="B14" t="s">
        <v>26</v>
      </c>
      <c r="C14" t="s">
        <v>71</v>
      </c>
      <c r="D14" s="4">
        <v>47772800</v>
      </c>
      <c r="E14" s="4">
        <v>59325901</v>
      </c>
      <c r="F14" s="4">
        <v>3276000</v>
      </c>
      <c r="G14" s="4">
        <v>15932800</v>
      </c>
      <c r="H14" s="4">
        <v>14524000</v>
      </c>
      <c r="I14" s="4">
        <v>14040000</v>
      </c>
    </row>
    <row r="15" spans="1:9" x14ac:dyDescent="0.25">
      <c r="A15" t="s">
        <v>55</v>
      </c>
      <c r="B15" t="s">
        <v>56</v>
      </c>
      <c r="C15" t="s">
        <v>72</v>
      </c>
      <c r="D15" s="4">
        <v>46602200</v>
      </c>
      <c r="E15" s="4">
        <v>57872209</v>
      </c>
      <c r="F15" s="4">
        <v>3216000</v>
      </c>
      <c r="G15" s="4">
        <v>14882400</v>
      </c>
      <c r="H15" s="4">
        <v>17043000</v>
      </c>
      <c r="I15" s="4">
        <v>11460800</v>
      </c>
    </row>
    <row r="16" spans="1:9" x14ac:dyDescent="0.25">
      <c r="A16" t="s">
        <v>45</v>
      </c>
      <c r="B16" t="s">
        <v>46</v>
      </c>
      <c r="C16" t="s">
        <v>73</v>
      </c>
      <c r="D16" s="4">
        <v>42145000</v>
      </c>
      <c r="E16" s="4">
        <v>52337109</v>
      </c>
      <c r="F16" s="4">
        <v>2319000</v>
      </c>
      <c r="G16" s="4">
        <v>11752000</v>
      </c>
      <c r="H16" s="4">
        <v>11533000</v>
      </c>
      <c r="I16" s="4">
        <v>16541000</v>
      </c>
    </row>
    <row r="17" spans="1:9" x14ac:dyDescent="0.25">
      <c r="A17" t="s">
        <v>29</v>
      </c>
      <c r="B17" t="s">
        <v>30</v>
      </c>
      <c r="C17" t="s">
        <v>74</v>
      </c>
      <c r="D17" s="4">
        <v>41251600</v>
      </c>
      <c r="E17" s="4">
        <v>51227649</v>
      </c>
      <c r="F17" s="4">
        <v>3692000</v>
      </c>
      <c r="G17" s="4">
        <v>11590800</v>
      </c>
      <c r="H17" s="4">
        <v>11538800</v>
      </c>
      <c r="I17" s="4">
        <v>14430000</v>
      </c>
    </row>
    <row r="18" spans="1:9" x14ac:dyDescent="0.25">
      <c r="A18" t="s">
        <v>43</v>
      </c>
      <c r="B18" t="s">
        <v>44</v>
      </c>
      <c r="C18" t="s">
        <v>75</v>
      </c>
      <c r="D18" s="4">
        <v>39728000</v>
      </c>
      <c r="E18" s="4">
        <v>49335589</v>
      </c>
      <c r="F18" s="4">
        <v>4784000</v>
      </c>
      <c r="G18" s="4">
        <v>11024000</v>
      </c>
      <c r="H18" s="4">
        <v>7852000</v>
      </c>
      <c r="I18" s="4">
        <v>16068000</v>
      </c>
    </row>
    <row r="19" spans="1:9" x14ac:dyDescent="0.25">
      <c r="A19" t="s">
        <v>76</v>
      </c>
      <c r="B19" t="s">
        <v>77</v>
      </c>
      <c r="C19" t="s">
        <v>78</v>
      </c>
      <c r="D19" s="4">
        <v>38868000</v>
      </c>
      <c r="E19" s="4">
        <v>48267614</v>
      </c>
      <c r="F19" s="4">
        <v>4160000</v>
      </c>
      <c r="G19" s="4">
        <v>10478000</v>
      </c>
      <c r="H19" s="4">
        <v>9516000</v>
      </c>
      <c r="I19" s="4">
        <v>14714000</v>
      </c>
    </row>
    <row r="20" spans="1:9" x14ac:dyDescent="0.25">
      <c r="A20" t="s">
        <v>57</v>
      </c>
      <c r="B20" t="s">
        <v>58</v>
      </c>
      <c r="C20" t="s">
        <v>79</v>
      </c>
      <c r="D20" s="4">
        <v>33897000</v>
      </c>
      <c r="E20" s="4">
        <v>42094456</v>
      </c>
      <c r="F20" s="4">
        <v>3926000</v>
      </c>
      <c r="G20" s="4">
        <v>10246000</v>
      </c>
      <c r="H20" s="4">
        <v>8782000</v>
      </c>
      <c r="I20" s="4">
        <v>10943000</v>
      </c>
    </row>
    <row r="21" spans="1:9" x14ac:dyDescent="0.25">
      <c r="A21" t="s">
        <v>53</v>
      </c>
      <c r="B21" t="s">
        <v>54</v>
      </c>
      <c r="C21" t="s">
        <v>80</v>
      </c>
      <c r="D21" s="4">
        <v>24622000</v>
      </c>
      <c r="E21" s="4">
        <v>30576444</v>
      </c>
      <c r="F21" s="4">
        <v>2340000</v>
      </c>
      <c r="G21" s="4">
        <v>6838000</v>
      </c>
      <c r="H21" s="4">
        <v>10556000</v>
      </c>
      <c r="I21" s="4">
        <v>4888000</v>
      </c>
    </row>
    <row r="22" spans="1:9" x14ac:dyDescent="0.25">
      <c r="B22" t="s">
        <v>49</v>
      </c>
      <c r="C22" t="s">
        <v>81</v>
      </c>
      <c r="D22" s="4">
        <v>1334323400</v>
      </c>
      <c r="E22" s="4">
        <v>1657008524</v>
      </c>
      <c r="F22" s="4">
        <v>114540800</v>
      </c>
      <c r="G22" s="4">
        <v>381223000</v>
      </c>
      <c r="H22" s="4">
        <v>406212200</v>
      </c>
      <c r="I22" s="4">
        <v>432347400</v>
      </c>
    </row>
    <row r="25" spans="1:9" x14ac:dyDescent="0.25">
      <c r="E25" t="s">
        <v>100</v>
      </c>
      <c r="F25" cm="1">
        <f t="array" ref="F25">SUM(SUMIF(A2:A21, {"*Arsenal*","*Everton*","*Liverpool*","*Manchester United*","*Tottenham*","*Chelsea*","*Manchester City*","*Crystal Palace*","*West Ham*"}, D2:D21))</f>
        <v>845094400</v>
      </c>
    </row>
    <row r="26" spans="1:9" x14ac:dyDescent="0.25">
      <c r="E26" t="s">
        <v>101</v>
      </c>
      <c r="F26">
        <f>F25/9</f>
        <v>93899377.777777776</v>
      </c>
    </row>
    <row r="29" spans="1:9" x14ac:dyDescent="0.25">
      <c r="E29" t="s">
        <v>15</v>
      </c>
      <c r="F29">
        <f>VLOOKUP(E29,$A$2:$D$21,4,FALSE)/$F$26</f>
        <v>1.089730330718083</v>
      </c>
    </row>
    <row r="30" spans="1:9" x14ac:dyDescent="0.25">
      <c r="E30" t="s">
        <v>21</v>
      </c>
      <c r="F30">
        <f t="shared" ref="F30:F37" si="0">VLOOKUP(E30,$A$2:$D$21,4,FALSE)/$F$26</f>
        <v>0.72161287543734765</v>
      </c>
    </row>
    <row r="31" spans="1:9" x14ac:dyDescent="0.25">
      <c r="E31" t="s">
        <v>17</v>
      </c>
      <c r="F31">
        <f t="shared" si="0"/>
        <v>0.96402768732108512</v>
      </c>
    </row>
    <row r="32" spans="1:9" x14ac:dyDescent="0.25">
      <c r="E32" t="s">
        <v>13</v>
      </c>
      <c r="F32">
        <f t="shared" si="0"/>
        <v>1.6218190535873862</v>
      </c>
    </row>
    <row r="33" spans="5:6" x14ac:dyDescent="0.25">
      <c r="E33" t="s">
        <v>19</v>
      </c>
      <c r="F33">
        <f t="shared" si="0"/>
        <v>0.758912377126153</v>
      </c>
    </row>
    <row r="34" spans="5:6" x14ac:dyDescent="0.25">
      <c r="E34" t="s">
        <v>11</v>
      </c>
      <c r="F34">
        <f t="shared" si="0"/>
        <v>1.0502093020614029</v>
      </c>
    </row>
    <row r="35" spans="5:6" x14ac:dyDescent="0.25">
      <c r="E35" t="s">
        <v>47</v>
      </c>
      <c r="F35">
        <f t="shared" si="0"/>
        <v>0.76855674348333158</v>
      </c>
    </row>
    <row r="36" spans="5:6" x14ac:dyDescent="0.25">
      <c r="E36" t="s">
        <v>23</v>
      </c>
      <c r="F36">
        <f t="shared" si="0"/>
        <v>0.5853457317904367</v>
      </c>
    </row>
    <row r="37" spans="5:6" x14ac:dyDescent="0.25">
      <c r="E37" t="s">
        <v>9</v>
      </c>
      <c r="F37">
        <f t="shared" si="0"/>
        <v>1.439785898474774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"/>
  <sheetViews>
    <sheetView topLeftCell="A7" workbookViewId="0">
      <selection activeCell="D30" sqref="D30:D38"/>
    </sheetView>
  </sheetViews>
  <sheetFormatPr defaultRowHeight="15" x14ac:dyDescent="0.25"/>
  <cols>
    <col min="1" max="1" width="24.5703125" bestFit="1" customWidth="1"/>
    <col min="3" max="3" width="16.28515625" customWidth="1"/>
    <col min="4" max="4" width="16.85546875" customWidth="1"/>
    <col min="5" max="5" width="17.5703125" customWidth="1"/>
    <col min="6" max="6" width="14.5703125" customWidth="1"/>
    <col min="7" max="7" width="15.5703125" customWidth="1"/>
    <col min="8" max="8" width="14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13</v>
      </c>
      <c r="B2" t="s">
        <v>14</v>
      </c>
      <c r="C2" s="4">
        <v>3135900</v>
      </c>
      <c r="D2" s="4">
        <v>163066800</v>
      </c>
      <c r="E2" s="4">
        <v>197962969</v>
      </c>
      <c r="F2" s="4">
        <v>14820000</v>
      </c>
      <c r="G2" s="4">
        <v>44460000</v>
      </c>
      <c r="H2" s="4">
        <v>50746800</v>
      </c>
      <c r="I2" s="4">
        <v>53040000</v>
      </c>
    </row>
    <row r="3" spans="1:9" x14ac:dyDescent="0.25">
      <c r="A3" t="s">
        <v>15</v>
      </c>
      <c r="B3" t="s">
        <v>16</v>
      </c>
      <c r="C3" s="4">
        <v>3093385</v>
      </c>
      <c r="D3" s="4">
        <v>160856000</v>
      </c>
      <c r="E3" s="4">
        <v>195279061</v>
      </c>
      <c r="F3" s="4">
        <v>8528000</v>
      </c>
      <c r="G3" s="4">
        <v>32968000</v>
      </c>
      <c r="H3" s="4">
        <v>59868000</v>
      </c>
      <c r="I3" s="4">
        <v>59492000</v>
      </c>
    </row>
    <row r="4" spans="1:9" x14ac:dyDescent="0.25">
      <c r="A4" t="s">
        <v>9</v>
      </c>
      <c r="B4" t="s">
        <v>10</v>
      </c>
      <c r="C4" s="4">
        <v>2607885</v>
      </c>
      <c r="D4" s="4">
        <v>135610000</v>
      </c>
      <c r="E4" s="4">
        <v>164630434</v>
      </c>
      <c r="F4" s="4">
        <v>15386000</v>
      </c>
      <c r="G4" s="4">
        <v>43004000</v>
      </c>
      <c r="H4" s="4">
        <v>45864000</v>
      </c>
      <c r="I4" s="4">
        <v>31356000</v>
      </c>
    </row>
    <row r="5" spans="1:9" x14ac:dyDescent="0.25">
      <c r="A5" t="s">
        <v>11</v>
      </c>
      <c r="B5" t="s">
        <v>12</v>
      </c>
      <c r="C5" s="4">
        <v>2340262</v>
      </c>
      <c r="D5" s="4">
        <v>121693600</v>
      </c>
      <c r="E5" s="4">
        <v>147735938</v>
      </c>
      <c r="F5" s="4">
        <v>8762000</v>
      </c>
      <c r="G5" s="4">
        <v>36698800</v>
      </c>
      <c r="H5" s="4">
        <v>32170000</v>
      </c>
      <c r="I5" s="4">
        <v>44062800</v>
      </c>
    </row>
    <row r="6" spans="1:9" x14ac:dyDescent="0.25">
      <c r="A6" t="s">
        <v>17</v>
      </c>
      <c r="B6" t="s">
        <v>18</v>
      </c>
      <c r="C6" s="4">
        <v>1857169</v>
      </c>
      <c r="D6" s="4">
        <v>96572800</v>
      </c>
      <c r="E6" s="4">
        <v>117239306</v>
      </c>
      <c r="F6" s="4">
        <v>8164000</v>
      </c>
      <c r="G6" s="4">
        <v>30824000</v>
      </c>
      <c r="H6" s="4">
        <v>28620800</v>
      </c>
      <c r="I6" s="4">
        <v>28964000</v>
      </c>
    </row>
    <row r="7" spans="1:9" x14ac:dyDescent="0.25">
      <c r="A7" t="s">
        <v>21</v>
      </c>
      <c r="B7" t="s">
        <v>22</v>
      </c>
      <c r="C7" s="4">
        <v>1621804</v>
      </c>
      <c r="D7" s="4">
        <v>84333800</v>
      </c>
      <c r="E7" s="4">
        <v>102381167</v>
      </c>
      <c r="F7" s="4">
        <v>5767000</v>
      </c>
      <c r="G7" s="4">
        <v>29291600</v>
      </c>
      <c r="H7" s="4">
        <v>21049600</v>
      </c>
      <c r="I7" s="4">
        <v>28225600</v>
      </c>
    </row>
    <row r="8" spans="1:9" x14ac:dyDescent="0.25">
      <c r="A8" t="s">
        <v>19</v>
      </c>
      <c r="B8" t="s">
        <v>20</v>
      </c>
      <c r="C8" s="4">
        <v>1546496</v>
      </c>
      <c r="D8" s="4">
        <v>80417800</v>
      </c>
      <c r="E8" s="4">
        <v>97627147</v>
      </c>
      <c r="F8" s="4">
        <v>8351000</v>
      </c>
      <c r="G8" s="4">
        <v>28816000</v>
      </c>
      <c r="H8" s="4">
        <v>21600800</v>
      </c>
      <c r="I8" s="4">
        <v>21650000</v>
      </c>
    </row>
    <row r="9" spans="1:9" x14ac:dyDescent="0.25">
      <c r="A9" t="s">
        <v>47</v>
      </c>
      <c r="B9" t="s">
        <v>48</v>
      </c>
      <c r="C9" s="4">
        <v>1312838</v>
      </c>
      <c r="D9" s="4">
        <v>68267600</v>
      </c>
      <c r="E9" s="4">
        <v>82876814</v>
      </c>
      <c r="F9" s="4">
        <v>3380000</v>
      </c>
      <c r="G9" s="4">
        <v>24440000</v>
      </c>
      <c r="H9" s="4">
        <v>19080800</v>
      </c>
      <c r="I9" s="4">
        <v>21366800</v>
      </c>
    </row>
    <row r="10" spans="1:9" x14ac:dyDescent="0.25">
      <c r="A10" t="s">
        <v>23</v>
      </c>
      <c r="B10" t="s">
        <v>24</v>
      </c>
      <c r="C10" s="4">
        <v>1309227</v>
      </c>
      <c r="D10" s="4">
        <v>68079800</v>
      </c>
      <c r="E10" s="4">
        <v>82648826</v>
      </c>
      <c r="F10" s="4">
        <v>8655000</v>
      </c>
      <c r="G10" s="4">
        <v>22165000</v>
      </c>
      <c r="H10" s="4">
        <v>17765000</v>
      </c>
      <c r="I10" s="4">
        <v>19494800</v>
      </c>
    </row>
    <row r="11" spans="1:9" x14ac:dyDescent="0.25">
      <c r="A11" t="s">
        <v>41</v>
      </c>
      <c r="B11" t="s">
        <v>42</v>
      </c>
      <c r="C11" s="4">
        <v>1281400</v>
      </c>
      <c r="D11" s="4">
        <v>66632800</v>
      </c>
      <c r="E11" s="4">
        <v>80892168</v>
      </c>
      <c r="F11" s="4">
        <v>7020000</v>
      </c>
      <c r="G11" s="4">
        <v>22776000</v>
      </c>
      <c r="H11" s="4">
        <v>12220000</v>
      </c>
      <c r="I11" s="4">
        <v>24616800</v>
      </c>
    </row>
    <row r="12" spans="1:9" x14ac:dyDescent="0.25">
      <c r="A12" t="s">
        <v>51</v>
      </c>
      <c r="B12" t="s">
        <v>52</v>
      </c>
      <c r="C12" s="4">
        <v>1266827</v>
      </c>
      <c r="D12" s="4">
        <v>65875000</v>
      </c>
      <c r="E12" s="4">
        <v>79972200</v>
      </c>
      <c r="F12" s="4">
        <v>5980000</v>
      </c>
      <c r="G12" s="4">
        <v>18009000</v>
      </c>
      <c r="H12" s="4">
        <v>18070000</v>
      </c>
      <c r="I12" s="4">
        <v>23816000</v>
      </c>
    </row>
    <row r="13" spans="1:9" x14ac:dyDescent="0.25">
      <c r="A13" t="s">
        <v>29</v>
      </c>
      <c r="B13" t="s">
        <v>30</v>
      </c>
      <c r="C13" s="4">
        <v>1118762</v>
      </c>
      <c r="D13" s="4">
        <v>58175600</v>
      </c>
      <c r="E13" s="4">
        <v>70625137</v>
      </c>
      <c r="F13" s="4">
        <v>4550000</v>
      </c>
      <c r="G13" s="4">
        <v>13043800</v>
      </c>
      <c r="H13" s="4">
        <v>20281000</v>
      </c>
      <c r="I13" s="4">
        <v>20300800</v>
      </c>
    </row>
    <row r="14" spans="1:9" x14ac:dyDescent="0.25">
      <c r="A14" t="s">
        <v>31</v>
      </c>
      <c r="B14" t="s">
        <v>32</v>
      </c>
      <c r="C14" s="4">
        <v>983612</v>
      </c>
      <c r="D14" s="4">
        <v>51147800</v>
      </c>
      <c r="E14" s="4">
        <v>62093391</v>
      </c>
      <c r="F14" s="4">
        <v>3900000</v>
      </c>
      <c r="G14" s="4">
        <v>17108000</v>
      </c>
      <c r="H14" s="4">
        <v>12512000</v>
      </c>
      <c r="I14" s="4">
        <v>17627800</v>
      </c>
    </row>
    <row r="15" spans="1:9" x14ac:dyDescent="0.25">
      <c r="A15" t="s">
        <v>55</v>
      </c>
      <c r="B15" t="s">
        <v>56</v>
      </c>
      <c r="C15" s="4">
        <v>933977</v>
      </c>
      <c r="D15" s="4">
        <v>48566800</v>
      </c>
      <c r="E15" s="4">
        <v>58960057</v>
      </c>
      <c r="F15" s="4">
        <v>2941000</v>
      </c>
      <c r="G15" s="4">
        <v>13814800</v>
      </c>
      <c r="H15" s="4">
        <v>12415000</v>
      </c>
      <c r="I15" s="4">
        <v>19396000</v>
      </c>
    </row>
    <row r="16" spans="1:9" x14ac:dyDescent="0.25">
      <c r="A16" t="s">
        <v>43</v>
      </c>
      <c r="B16" t="s">
        <v>44</v>
      </c>
      <c r="C16" s="4">
        <v>918712</v>
      </c>
      <c r="D16" s="4">
        <v>47773000</v>
      </c>
      <c r="E16" s="4">
        <v>57996386</v>
      </c>
      <c r="F16" s="4">
        <v>4940000</v>
      </c>
      <c r="G16" s="4">
        <v>11024000</v>
      </c>
      <c r="H16" s="4">
        <v>12231000</v>
      </c>
      <c r="I16" s="4">
        <v>19578000</v>
      </c>
    </row>
    <row r="17" spans="1:9" x14ac:dyDescent="0.25">
      <c r="A17" t="s">
        <v>57</v>
      </c>
      <c r="B17" t="s">
        <v>58</v>
      </c>
      <c r="C17" s="4">
        <v>806096</v>
      </c>
      <c r="D17" s="4">
        <v>41917000</v>
      </c>
      <c r="E17" s="4">
        <v>50887204</v>
      </c>
      <c r="F17" s="4">
        <v>7436000</v>
      </c>
      <c r="G17" s="4">
        <v>12844000</v>
      </c>
      <c r="H17" s="4">
        <v>7337000</v>
      </c>
      <c r="I17" s="4">
        <v>14300000</v>
      </c>
    </row>
    <row r="18" spans="1:9" x14ac:dyDescent="0.25">
      <c r="A18" t="s">
        <v>82</v>
      </c>
      <c r="B18" t="s">
        <v>83</v>
      </c>
      <c r="C18" s="4">
        <v>752785</v>
      </c>
      <c r="D18" s="4">
        <v>39144800</v>
      </c>
      <c r="E18" s="4">
        <v>47521758</v>
      </c>
      <c r="F18" s="4">
        <v>4690000</v>
      </c>
      <c r="G18" s="4">
        <v>12954000</v>
      </c>
      <c r="H18" s="4">
        <v>8710000</v>
      </c>
      <c r="I18" s="4">
        <v>12790800</v>
      </c>
    </row>
    <row r="19" spans="1:9" x14ac:dyDescent="0.25">
      <c r="A19" t="s">
        <v>27</v>
      </c>
      <c r="B19" t="s">
        <v>28</v>
      </c>
      <c r="C19" s="4">
        <v>722000</v>
      </c>
      <c r="D19" s="4">
        <v>37544000</v>
      </c>
      <c r="E19" s="4">
        <v>45578387</v>
      </c>
      <c r="F19" s="4">
        <v>2860000</v>
      </c>
      <c r="G19" s="4">
        <v>12480000</v>
      </c>
      <c r="H19" s="4">
        <v>9984000</v>
      </c>
      <c r="I19" s="4">
        <v>12220000</v>
      </c>
    </row>
    <row r="20" spans="1:9" x14ac:dyDescent="0.25">
      <c r="A20" t="s">
        <v>53</v>
      </c>
      <c r="B20" t="s">
        <v>54</v>
      </c>
      <c r="C20" s="4">
        <v>614000</v>
      </c>
      <c r="D20" s="4">
        <v>31928000</v>
      </c>
      <c r="E20" s="4">
        <v>38760570</v>
      </c>
      <c r="F20" s="4">
        <v>3250000</v>
      </c>
      <c r="G20" s="4">
        <v>8528000</v>
      </c>
      <c r="H20" s="4">
        <v>11414000</v>
      </c>
      <c r="I20" s="4">
        <v>8736000</v>
      </c>
    </row>
    <row r="21" spans="1:9" x14ac:dyDescent="0.25">
      <c r="A21" t="s">
        <v>84</v>
      </c>
      <c r="B21" t="s">
        <v>85</v>
      </c>
      <c r="C21" s="4">
        <v>492442</v>
      </c>
      <c r="D21" s="4">
        <v>25607000</v>
      </c>
      <c r="E21" s="4">
        <v>31086877</v>
      </c>
      <c r="F21" s="4">
        <v>1241000</v>
      </c>
      <c r="G21" s="4">
        <v>5953000</v>
      </c>
      <c r="H21" s="4">
        <v>9152000</v>
      </c>
      <c r="I21" s="4">
        <v>9261000</v>
      </c>
    </row>
    <row r="22" spans="1:9" x14ac:dyDescent="0.25">
      <c r="B22" t="s">
        <v>49</v>
      </c>
      <c r="C22" s="4">
        <v>28715579</v>
      </c>
      <c r="D22" s="4">
        <v>1493210000</v>
      </c>
      <c r="E22" s="4">
        <v>1812755797</v>
      </c>
      <c r="F22" s="4">
        <v>130621000</v>
      </c>
      <c r="G22" s="4">
        <v>441202000</v>
      </c>
      <c r="H22" s="4">
        <v>431091800</v>
      </c>
      <c r="I22" s="4">
        <v>490295200</v>
      </c>
    </row>
    <row r="26" spans="1:9" x14ac:dyDescent="0.25">
      <c r="D26" t="s">
        <v>100</v>
      </c>
      <c r="E26" cm="1">
        <f t="array" ref="E26">SUM(SUMIF(A2:A21, {"*Arsenal*","*Everton*","*Liverpool*","*Manchester United*","*Tottenham*","*Chelsea*","*Manchester City*","*Crystal Palace*","*West Ham*"}, D2:D21))</f>
        <v>978898200</v>
      </c>
    </row>
    <row r="27" spans="1:9" x14ac:dyDescent="0.25">
      <c r="D27" t="s">
        <v>101</v>
      </c>
      <c r="E27">
        <f>E26/9</f>
        <v>108766466.66666667</v>
      </c>
    </row>
    <row r="30" spans="1:9" x14ac:dyDescent="0.25">
      <c r="D30" t="s">
        <v>15</v>
      </c>
      <c r="E30">
        <f>VLOOKUP(D30,$A$2:$D$21,4,FALSE)/$E$27</f>
        <v>1.4789116988875859</v>
      </c>
    </row>
    <row r="31" spans="1:9" x14ac:dyDescent="0.25">
      <c r="D31" t="s">
        <v>21</v>
      </c>
      <c r="E31">
        <f t="shared" ref="E31:E38" si="0">VLOOKUP(D31,$A$2:$D$21,4,FALSE)/$E$27</f>
        <v>0.77536581434106222</v>
      </c>
    </row>
    <row r="32" spans="1:9" x14ac:dyDescent="0.25">
      <c r="D32" t="s">
        <v>17</v>
      </c>
      <c r="E32">
        <f t="shared" si="0"/>
        <v>0.88789130473424094</v>
      </c>
    </row>
    <row r="33" spans="4:5" x14ac:dyDescent="0.25">
      <c r="D33" t="s">
        <v>13</v>
      </c>
      <c r="E33">
        <f t="shared" si="0"/>
        <v>1.4992378165574316</v>
      </c>
    </row>
    <row r="34" spans="4:5" x14ac:dyDescent="0.25">
      <c r="D34" t="s">
        <v>19</v>
      </c>
      <c r="E34">
        <f t="shared" si="0"/>
        <v>0.73936207054012359</v>
      </c>
    </row>
    <row r="35" spans="4:5" x14ac:dyDescent="0.25">
      <c r="D35" t="s">
        <v>11</v>
      </c>
      <c r="E35">
        <f t="shared" si="0"/>
        <v>1.1188521952538066</v>
      </c>
    </row>
    <row r="36" spans="4:5" x14ac:dyDescent="0.25">
      <c r="D36" t="s">
        <v>47</v>
      </c>
      <c r="E36">
        <f t="shared" si="0"/>
        <v>0.62765300824947878</v>
      </c>
    </row>
    <row r="37" spans="4:5" x14ac:dyDescent="0.25">
      <c r="D37" t="s">
        <v>23</v>
      </c>
      <c r="E37">
        <f t="shared" si="0"/>
        <v>0.62592637314074129</v>
      </c>
    </row>
    <row r="38" spans="4:5" x14ac:dyDescent="0.25">
      <c r="D38" t="s">
        <v>9</v>
      </c>
      <c r="E38">
        <f t="shared" si="0"/>
        <v>1.2467997182955286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topLeftCell="A7" workbookViewId="0">
      <selection activeCell="E29" sqref="E29:E30"/>
    </sheetView>
  </sheetViews>
  <sheetFormatPr defaultRowHeight="15" x14ac:dyDescent="0.25"/>
  <cols>
    <col min="1" max="1" width="24.5703125" bestFit="1" customWidth="1"/>
    <col min="3" max="3" width="13.140625" customWidth="1"/>
    <col min="4" max="4" width="18.28515625" customWidth="1"/>
    <col min="5" max="5" width="16.140625" customWidth="1"/>
    <col min="6" max="6" width="12.140625" customWidth="1"/>
    <col min="7" max="7" width="12.5703125" customWidth="1"/>
    <col min="8" max="8" width="14.42578125" customWidth="1"/>
    <col min="9" max="9" width="16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11</v>
      </c>
      <c r="B2" t="s">
        <v>12</v>
      </c>
      <c r="C2" s="4">
        <v>3312308</v>
      </c>
      <c r="D2" s="4">
        <v>172240000</v>
      </c>
      <c r="E2" s="4">
        <v>205526950</v>
      </c>
      <c r="F2" s="4">
        <v>10354000</v>
      </c>
      <c r="G2" s="4">
        <v>41791000</v>
      </c>
      <c r="H2" s="4">
        <v>51969000</v>
      </c>
      <c r="I2" s="4">
        <v>68126000</v>
      </c>
    </row>
    <row r="3" spans="1:9" x14ac:dyDescent="0.25">
      <c r="A3" t="s">
        <v>9</v>
      </c>
      <c r="B3" t="s">
        <v>10</v>
      </c>
      <c r="C3" s="4">
        <v>2904535</v>
      </c>
      <c r="D3" s="4">
        <v>151035800</v>
      </c>
      <c r="E3" s="4">
        <v>180224845</v>
      </c>
      <c r="F3" s="4">
        <v>9776000</v>
      </c>
      <c r="G3" s="4">
        <v>48256000</v>
      </c>
      <c r="H3" s="4">
        <v>49160800</v>
      </c>
      <c r="I3" s="4">
        <v>43843000</v>
      </c>
    </row>
    <row r="4" spans="1:9" x14ac:dyDescent="0.25">
      <c r="A4" t="s">
        <v>13</v>
      </c>
      <c r="B4" t="s">
        <v>14</v>
      </c>
      <c r="C4" s="4">
        <v>2885400</v>
      </c>
      <c r="D4" s="4">
        <v>150040800</v>
      </c>
      <c r="E4" s="4">
        <v>179037553</v>
      </c>
      <c r="F4" s="4">
        <v>15600000</v>
      </c>
      <c r="G4" s="4">
        <v>45240000</v>
      </c>
      <c r="H4" s="4">
        <v>50440000</v>
      </c>
      <c r="I4" s="4">
        <v>38760800</v>
      </c>
    </row>
    <row r="5" spans="1:9" x14ac:dyDescent="0.25">
      <c r="A5" t="s">
        <v>15</v>
      </c>
      <c r="B5" t="s">
        <v>16</v>
      </c>
      <c r="C5" s="4">
        <v>2663285</v>
      </c>
      <c r="D5" s="4">
        <v>138490800</v>
      </c>
      <c r="E5" s="4">
        <v>165255407</v>
      </c>
      <c r="F5" s="4">
        <v>12064000</v>
      </c>
      <c r="G5" s="4">
        <v>39910000</v>
      </c>
      <c r="H5" s="4">
        <v>54980000</v>
      </c>
      <c r="I5" s="4">
        <v>31536800</v>
      </c>
    </row>
    <row r="6" spans="1:9" x14ac:dyDescent="0.25">
      <c r="A6" t="s">
        <v>17</v>
      </c>
      <c r="B6" t="s">
        <v>18</v>
      </c>
      <c r="C6" s="4">
        <v>2338458</v>
      </c>
      <c r="D6" s="4">
        <v>121599800</v>
      </c>
      <c r="E6" s="4">
        <v>145100067</v>
      </c>
      <c r="F6" s="4">
        <v>7956000</v>
      </c>
      <c r="G6" s="4">
        <v>31948800</v>
      </c>
      <c r="H6" s="4">
        <v>37871000</v>
      </c>
      <c r="I6" s="4">
        <v>43824000</v>
      </c>
    </row>
    <row r="7" spans="1:9" x14ac:dyDescent="0.25">
      <c r="A7" t="s">
        <v>19</v>
      </c>
      <c r="B7" t="s">
        <v>20</v>
      </c>
      <c r="C7" s="4">
        <v>1740865</v>
      </c>
      <c r="D7" s="4">
        <v>90525000</v>
      </c>
      <c r="E7" s="4">
        <v>108019780</v>
      </c>
      <c r="F7" s="4">
        <v>8398000</v>
      </c>
      <c r="G7" s="4">
        <v>25988000</v>
      </c>
      <c r="H7" s="4">
        <v>25771000</v>
      </c>
      <c r="I7" s="4">
        <v>30368000</v>
      </c>
    </row>
    <row r="8" spans="1:9" x14ac:dyDescent="0.25">
      <c r="A8" t="s">
        <v>21</v>
      </c>
      <c r="B8" t="s">
        <v>22</v>
      </c>
      <c r="C8" s="4">
        <v>1640712</v>
      </c>
      <c r="D8" s="4">
        <v>85317000</v>
      </c>
      <c r="E8" s="4">
        <v>101805287</v>
      </c>
      <c r="F8" s="4">
        <v>6968000</v>
      </c>
      <c r="G8" s="4">
        <v>29692000</v>
      </c>
      <c r="H8" s="4">
        <v>24581000</v>
      </c>
      <c r="I8" s="4">
        <v>24076000</v>
      </c>
    </row>
    <row r="9" spans="1:9" x14ac:dyDescent="0.25">
      <c r="A9" t="s">
        <v>23</v>
      </c>
      <c r="B9" t="s">
        <v>24</v>
      </c>
      <c r="C9" s="4">
        <v>1619865</v>
      </c>
      <c r="D9" s="4">
        <v>84233000</v>
      </c>
      <c r="E9" s="4">
        <v>100511794</v>
      </c>
      <c r="F9" s="4">
        <v>5980000</v>
      </c>
      <c r="G9" s="4">
        <v>23296000</v>
      </c>
      <c r="H9" s="4">
        <v>21703000</v>
      </c>
      <c r="I9" s="4">
        <v>33254000</v>
      </c>
    </row>
    <row r="10" spans="1:9" x14ac:dyDescent="0.25">
      <c r="A10" t="s">
        <v>51</v>
      </c>
      <c r="B10" t="s">
        <v>52</v>
      </c>
      <c r="C10" s="4">
        <v>1507500</v>
      </c>
      <c r="D10" s="4">
        <v>78390000</v>
      </c>
      <c r="E10" s="4">
        <v>93539580</v>
      </c>
      <c r="F10" s="4">
        <v>8996000</v>
      </c>
      <c r="G10" s="4">
        <v>25220000</v>
      </c>
      <c r="H10" s="4">
        <v>25974000</v>
      </c>
      <c r="I10" s="4">
        <v>18200000</v>
      </c>
    </row>
    <row r="11" spans="1:9" x14ac:dyDescent="0.25">
      <c r="A11" t="s">
        <v>41</v>
      </c>
      <c r="B11" t="s">
        <v>42</v>
      </c>
      <c r="C11" s="4">
        <v>1461510</v>
      </c>
      <c r="D11" s="4">
        <v>75998500</v>
      </c>
      <c r="E11" s="4">
        <v>90685903</v>
      </c>
      <c r="F11" s="4">
        <v>9453500</v>
      </c>
      <c r="G11" s="4">
        <v>24830000</v>
      </c>
      <c r="H11" s="4">
        <v>17566000</v>
      </c>
      <c r="I11" s="4">
        <v>24149000</v>
      </c>
    </row>
    <row r="12" spans="1:9" x14ac:dyDescent="0.25">
      <c r="A12" t="s">
        <v>47</v>
      </c>
      <c r="B12" t="s">
        <v>48</v>
      </c>
      <c r="C12" s="4">
        <v>1418058</v>
      </c>
      <c r="D12" s="4">
        <v>73739000</v>
      </c>
      <c r="E12" s="4">
        <v>87989734</v>
      </c>
      <c r="F12" s="4">
        <v>6526000</v>
      </c>
      <c r="G12" s="4">
        <v>21450000</v>
      </c>
      <c r="H12" s="4">
        <v>20881000</v>
      </c>
      <c r="I12" s="4">
        <v>24882000</v>
      </c>
    </row>
    <row r="13" spans="1:9" x14ac:dyDescent="0.25">
      <c r="A13" t="s">
        <v>57</v>
      </c>
      <c r="B13" t="s">
        <v>58</v>
      </c>
      <c r="C13" s="4">
        <v>1033596</v>
      </c>
      <c r="D13" s="4">
        <v>53747000</v>
      </c>
      <c r="E13" s="4">
        <v>64134098</v>
      </c>
      <c r="F13" s="4">
        <v>6240000</v>
      </c>
      <c r="G13" s="4">
        <v>18356000</v>
      </c>
      <c r="H13" s="4">
        <v>12303000</v>
      </c>
      <c r="I13" s="4">
        <v>16848000</v>
      </c>
    </row>
    <row r="14" spans="1:9" x14ac:dyDescent="0.25">
      <c r="A14" t="s">
        <v>35</v>
      </c>
      <c r="B14" t="s">
        <v>36</v>
      </c>
      <c r="C14" s="4">
        <v>960750</v>
      </c>
      <c r="D14" s="4">
        <v>49959000</v>
      </c>
      <c r="E14" s="4">
        <v>59614032</v>
      </c>
      <c r="F14" s="4">
        <v>6494000</v>
      </c>
      <c r="G14" s="4">
        <v>11491000</v>
      </c>
      <c r="H14" s="4">
        <v>13396000</v>
      </c>
      <c r="I14" s="4">
        <v>18578000</v>
      </c>
    </row>
    <row r="15" spans="1:9" x14ac:dyDescent="0.25">
      <c r="A15" t="s">
        <v>55</v>
      </c>
      <c r="B15" t="s">
        <v>56</v>
      </c>
      <c r="C15" s="4">
        <v>949962</v>
      </c>
      <c r="D15" s="4">
        <v>49398000</v>
      </c>
      <c r="E15" s="4">
        <v>58944611</v>
      </c>
      <c r="F15" s="4">
        <v>3536000</v>
      </c>
      <c r="G15" s="4">
        <v>16068000</v>
      </c>
      <c r="H15" s="4">
        <v>15340000</v>
      </c>
      <c r="I15" s="4">
        <v>14454000</v>
      </c>
    </row>
    <row r="16" spans="1:9" x14ac:dyDescent="0.25">
      <c r="A16" t="s">
        <v>27</v>
      </c>
      <c r="B16" t="s">
        <v>28</v>
      </c>
      <c r="C16" s="4">
        <v>895592</v>
      </c>
      <c r="D16" s="4">
        <v>46570800</v>
      </c>
      <c r="E16" s="4">
        <v>55571030</v>
      </c>
      <c r="F16" s="4">
        <v>4342000</v>
      </c>
      <c r="G16" s="4">
        <v>17840800</v>
      </c>
      <c r="H16" s="4">
        <v>12480000</v>
      </c>
      <c r="I16" s="4">
        <v>11908000</v>
      </c>
    </row>
    <row r="17" spans="1:9" x14ac:dyDescent="0.25">
      <c r="A17" t="s">
        <v>53</v>
      </c>
      <c r="B17" t="s">
        <v>54</v>
      </c>
      <c r="C17" s="4">
        <v>839712</v>
      </c>
      <c r="D17" s="4">
        <v>43665000</v>
      </c>
      <c r="E17" s="4">
        <v>52103661</v>
      </c>
      <c r="F17" s="4">
        <v>6370000</v>
      </c>
      <c r="G17" s="4">
        <v>14092000</v>
      </c>
      <c r="H17" s="4">
        <v>9594000</v>
      </c>
      <c r="I17" s="4">
        <v>13609000</v>
      </c>
    </row>
    <row r="18" spans="1:9" x14ac:dyDescent="0.25">
      <c r="A18" t="s">
        <v>82</v>
      </c>
      <c r="B18" t="s">
        <v>83</v>
      </c>
      <c r="C18" s="4">
        <v>836481</v>
      </c>
      <c r="D18" s="4">
        <v>43497000</v>
      </c>
      <c r="E18" s="4">
        <v>51903191</v>
      </c>
      <c r="F18" s="4">
        <v>3432000</v>
      </c>
      <c r="G18" s="4">
        <v>15875000</v>
      </c>
      <c r="H18" s="4">
        <v>11294000</v>
      </c>
      <c r="I18" s="4">
        <v>12896000</v>
      </c>
    </row>
    <row r="19" spans="1:9" x14ac:dyDescent="0.25">
      <c r="A19" t="s">
        <v>86</v>
      </c>
      <c r="B19" t="s">
        <v>87</v>
      </c>
      <c r="C19" s="4">
        <v>782092</v>
      </c>
      <c r="D19" s="4">
        <v>40668800</v>
      </c>
      <c r="E19" s="4">
        <v>48528414</v>
      </c>
      <c r="F19" s="4">
        <v>7176000</v>
      </c>
      <c r="G19" s="4">
        <v>7976800</v>
      </c>
      <c r="H19" s="4">
        <v>13104000</v>
      </c>
      <c r="I19" s="4">
        <v>12412000</v>
      </c>
    </row>
    <row r="20" spans="1:9" x14ac:dyDescent="0.25">
      <c r="A20" t="s">
        <v>84</v>
      </c>
      <c r="B20" t="s">
        <v>85</v>
      </c>
      <c r="C20" s="4">
        <v>675592</v>
      </c>
      <c r="D20" s="4">
        <v>35130800</v>
      </c>
      <c r="E20" s="4">
        <v>41920148</v>
      </c>
      <c r="F20" s="4">
        <v>2262000</v>
      </c>
      <c r="G20" s="4">
        <v>10764000</v>
      </c>
      <c r="H20" s="4">
        <v>11356800</v>
      </c>
      <c r="I20" s="4">
        <v>10748000</v>
      </c>
    </row>
    <row r="21" spans="1:9" x14ac:dyDescent="0.25">
      <c r="A21" t="s">
        <v>37</v>
      </c>
      <c r="B21" t="s">
        <v>38</v>
      </c>
      <c r="C21" s="4">
        <v>634423</v>
      </c>
      <c r="D21" s="4">
        <v>32990000</v>
      </c>
      <c r="E21" s="4">
        <v>39365616</v>
      </c>
      <c r="F21" s="4">
        <v>3120000</v>
      </c>
      <c r="G21" s="4">
        <v>8252000</v>
      </c>
      <c r="H21" s="4">
        <v>11140000</v>
      </c>
      <c r="I21" s="4">
        <v>10478000</v>
      </c>
    </row>
    <row r="22" spans="1:9" x14ac:dyDescent="0.25">
      <c r="B22" t="s">
        <v>49</v>
      </c>
      <c r="C22" s="4">
        <v>31100696</v>
      </c>
      <c r="D22" s="4">
        <v>1617236100</v>
      </c>
      <c r="E22" s="4">
        <v>1929781701</v>
      </c>
      <c r="F22" s="4">
        <v>145043500</v>
      </c>
      <c r="G22" s="4">
        <v>478337400</v>
      </c>
      <c r="H22" s="4">
        <v>490904600</v>
      </c>
      <c r="I22" s="4">
        <v>502950600</v>
      </c>
    </row>
    <row r="25" spans="1:9" x14ac:dyDescent="0.25">
      <c r="D25" t="s">
        <v>100</v>
      </c>
      <c r="E25" cm="1">
        <f t="array" ref="E25">SUM(SUMIF(A2:A21, {"*Arsenal*","*Everton*","*Liverpool*","*Manchester United*","*Tottenham*","*Chelsea*","*Manchester City*","*Crystal Palace*","*West Ham*"}, D2:D21))</f>
        <v>1067221200</v>
      </c>
    </row>
    <row r="26" spans="1:9" x14ac:dyDescent="0.25">
      <c r="D26" t="s">
        <v>101</v>
      </c>
      <c r="E26">
        <f>E25/9</f>
        <v>118580133.33333333</v>
      </c>
    </row>
    <row r="29" spans="1:9" x14ac:dyDescent="0.25">
      <c r="D29" t="s">
        <v>15</v>
      </c>
      <c r="E29">
        <f>VLOOKUP(D29,$A$2:$D$21,4,FALSE)/$E$26</f>
        <v>1.1679089583302882</v>
      </c>
    </row>
    <row r="30" spans="1:9" x14ac:dyDescent="0.25">
      <c r="D30" t="s">
        <v>21</v>
      </c>
      <c r="E30">
        <f>VLOOKUP(D30,$A$2:$D$21,4,FALSE)/$E$26</f>
        <v>0.71948814360134528</v>
      </c>
    </row>
    <row r="31" spans="1:9" x14ac:dyDescent="0.25">
      <c r="D31" t="s">
        <v>17</v>
      </c>
      <c r="E31">
        <f>VLOOKUP(D31,$A$2:$D$21,4,FALSE)/$E$26</f>
        <v>1.0254651987797845</v>
      </c>
    </row>
    <row r="32" spans="1:9" x14ac:dyDescent="0.25">
      <c r="D32" t="s">
        <v>13</v>
      </c>
      <c r="E32">
        <f t="shared" ref="E30:E37" si="0">VLOOKUP(D32,$A$2:$D$21,4,FALSE)/$E$26</f>
        <v>1.2653114462119006</v>
      </c>
    </row>
    <row r="33" spans="4:5" x14ac:dyDescent="0.25">
      <c r="D33" t="s">
        <v>19</v>
      </c>
      <c r="E33">
        <f t="shared" si="0"/>
        <v>0.76340781086432696</v>
      </c>
    </row>
    <row r="34" spans="4:5" x14ac:dyDescent="0.25">
      <c r="D34" t="s">
        <v>11</v>
      </c>
      <c r="E34">
        <f t="shared" si="0"/>
        <v>1.4525198712319434</v>
      </c>
    </row>
    <row r="35" spans="4:5" x14ac:dyDescent="0.25">
      <c r="D35" t="s">
        <v>47</v>
      </c>
      <c r="E35">
        <f t="shared" si="0"/>
        <v>0.62184952847638342</v>
      </c>
    </row>
    <row r="36" spans="4:5" x14ac:dyDescent="0.25">
      <c r="D36" t="s">
        <v>23</v>
      </c>
      <c r="E36">
        <f t="shared" si="0"/>
        <v>0.71034664603739139</v>
      </c>
    </row>
    <row r="37" spans="4:5" x14ac:dyDescent="0.25">
      <c r="D37" t="s">
        <v>9</v>
      </c>
      <c r="E37">
        <f t="shared" si="0"/>
        <v>1.273702396466637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"/>
  <sheetViews>
    <sheetView topLeftCell="A7" workbookViewId="0">
      <selection activeCell="E30" sqref="E30"/>
    </sheetView>
  </sheetViews>
  <sheetFormatPr defaultRowHeight="15" x14ac:dyDescent="0.25"/>
  <cols>
    <col min="1" max="1" width="24.5703125" bestFit="1" customWidth="1"/>
    <col min="3" max="3" width="14.5703125" customWidth="1"/>
    <col min="4" max="4" width="18.85546875" customWidth="1"/>
    <col min="5" max="5" width="16.5703125" customWidth="1"/>
    <col min="6" max="6" width="13.7109375" customWidth="1"/>
    <col min="7" max="8" width="12.28515625" customWidth="1"/>
    <col min="9" max="9" width="12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13</v>
      </c>
      <c r="B2" t="s">
        <v>14</v>
      </c>
      <c r="C2" s="4">
        <v>3161538</v>
      </c>
      <c r="D2" s="4">
        <v>164400000</v>
      </c>
      <c r="E2" s="4">
        <v>194249725</v>
      </c>
      <c r="F2" s="4">
        <v>24700000</v>
      </c>
      <c r="G2" s="4">
        <v>55640000</v>
      </c>
      <c r="H2" s="4">
        <v>28600000</v>
      </c>
      <c r="I2" s="4">
        <v>55460000</v>
      </c>
    </row>
    <row r="3" spans="1:9" x14ac:dyDescent="0.25">
      <c r="A3" t="s">
        <v>9</v>
      </c>
      <c r="B3" t="s">
        <v>10</v>
      </c>
      <c r="C3" s="4">
        <v>3003269</v>
      </c>
      <c r="D3" s="4">
        <v>156170000</v>
      </c>
      <c r="E3" s="4">
        <v>184525423</v>
      </c>
      <c r="F3" s="4">
        <v>10660000</v>
      </c>
      <c r="G3" s="4">
        <v>39620000</v>
      </c>
      <c r="H3" s="4">
        <v>25020000</v>
      </c>
      <c r="I3" s="4">
        <v>80870000</v>
      </c>
    </row>
    <row r="4" spans="1:9" x14ac:dyDescent="0.25">
      <c r="A4" t="s">
        <v>11</v>
      </c>
      <c r="B4" t="s">
        <v>12</v>
      </c>
      <c r="C4" s="4">
        <v>2489615</v>
      </c>
      <c r="D4" s="4">
        <v>129460000</v>
      </c>
      <c r="E4" s="4">
        <v>152965749</v>
      </c>
      <c r="F4" s="4">
        <v>9730000</v>
      </c>
      <c r="G4" s="4">
        <v>35170000</v>
      </c>
      <c r="H4" s="4">
        <v>42760000</v>
      </c>
      <c r="I4" s="4">
        <v>41800000</v>
      </c>
    </row>
    <row r="5" spans="1:9" x14ac:dyDescent="0.25">
      <c r="A5" t="s">
        <v>15</v>
      </c>
      <c r="B5" t="s">
        <v>16</v>
      </c>
      <c r="C5" s="4">
        <v>2281923</v>
      </c>
      <c r="D5" s="4">
        <v>118660000</v>
      </c>
      <c r="E5" s="4">
        <v>140204820</v>
      </c>
      <c r="F5" s="4">
        <v>6760000</v>
      </c>
      <c r="G5" s="4">
        <v>42110000</v>
      </c>
      <c r="H5" s="4">
        <v>20800000</v>
      </c>
      <c r="I5" s="4">
        <v>48990000</v>
      </c>
    </row>
    <row r="6" spans="1:9" x14ac:dyDescent="0.25">
      <c r="A6" t="s">
        <v>17</v>
      </c>
      <c r="B6" t="s">
        <v>18</v>
      </c>
      <c r="C6" s="4">
        <v>2225962</v>
      </c>
      <c r="D6" s="4">
        <v>115750000</v>
      </c>
      <c r="E6" s="4">
        <v>136766458</v>
      </c>
      <c r="F6" s="4">
        <v>8110000</v>
      </c>
      <c r="G6" s="4">
        <v>32500000</v>
      </c>
      <c r="H6" s="4">
        <v>34060000</v>
      </c>
      <c r="I6" s="4">
        <v>41080000</v>
      </c>
    </row>
    <row r="7" spans="1:9" x14ac:dyDescent="0.25">
      <c r="A7" t="s">
        <v>19</v>
      </c>
      <c r="B7" t="s">
        <v>20</v>
      </c>
      <c r="C7" s="4">
        <v>2045769</v>
      </c>
      <c r="D7" s="4">
        <v>106380000</v>
      </c>
      <c r="E7" s="4">
        <v>125695168</v>
      </c>
      <c r="F7" s="4">
        <v>8580000</v>
      </c>
      <c r="G7" s="4">
        <v>25220000</v>
      </c>
      <c r="H7" s="4">
        <v>33060000</v>
      </c>
      <c r="I7" s="4">
        <v>39520000</v>
      </c>
    </row>
    <row r="8" spans="1:9" x14ac:dyDescent="0.25">
      <c r="A8" t="s">
        <v>21</v>
      </c>
      <c r="B8" t="s">
        <v>22</v>
      </c>
      <c r="C8" s="4">
        <v>1785962</v>
      </c>
      <c r="D8" s="4">
        <v>92870000</v>
      </c>
      <c r="E8" s="4">
        <v>109732189</v>
      </c>
      <c r="F8" s="4">
        <v>8350000</v>
      </c>
      <c r="G8" s="4">
        <v>24800000</v>
      </c>
      <c r="H8" s="4">
        <v>20820000</v>
      </c>
      <c r="I8" s="4">
        <v>38900000</v>
      </c>
    </row>
    <row r="9" spans="1:9" x14ac:dyDescent="0.25">
      <c r="A9" t="s">
        <v>23</v>
      </c>
      <c r="B9" t="s">
        <v>24</v>
      </c>
      <c r="C9" s="4">
        <v>1483000</v>
      </c>
      <c r="D9" s="4">
        <v>77116000</v>
      </c>
      <c r="E9" s="4">
        <v>91117773</v>
      </c>
      <c r="F9" s="4">
        <v>7176000</v>
      </c>
      <c r="G9" s="4">
        <v>23660000</v>
      </c>
      <c r="H9" s="4">
        <v>13520000</v>
      </c>
      <c r="I9" s="4">
        <v>32760000</v>
      </c>
    </row>
    <row r="10" spans="1:9" x14ac:dyDescent="0.25">
      <c r="A10" t="s">
        <v>47</v>
      </c>
      <c r="B10" t="s">
        <v>48</v>
      </c>
      <c r="C10" s="4">
        <v>1430192</v>
      </c>
      <c r="D10" s="4">
        <v>74370000</v>
      </c>
      <c r="E10" s="4">
        <v>87873189</v>
      </c>
      <c r="F10" s="4">
        <v>5590000</v>
      </c>
      <c r="G10" s="4">
        <v>22360000</v>
      </c>
      <c r="H10" s="4">
        <v>16000000</v>
      </c>
      <c r="I10" s="4">
        <v>30420000</v>
      </c>
    </row>
    <row r="11" spans="1:9" x14ac:dyDescent="0.25">
      <c r="A11" t="s">
        <v>51</v>
      </c>
      <c r="B11" t="s">
        <v>52</v>
      </c>
      <c r="C11" s="4">
        <v>1310000</v>
      </c>
      <c r="D11" s="4">
        <v>68120000</v>
      </c>
      <c r="E11" s="4">
        <v>80488388</v>
      </c>
      <c r="F11" s="4">
        <v>9000000</v>
      </c>
      <c r="G11" s="4">
        <v>21320000</v>
      </c>
      <c r="H11" s="4">
        <v>17650000</v>
      </c>
      <c r="I11" s="4">
        <v>20150000</v>
      </c>
    </row>
    <row r="12" spans="1:9" x14ac:dyDescent="0.25">
      <c r="A12" t="s">
        <v>27</v>
      </c>
      <c r="B12" t="s">
        <v>28</v>
      </c>
      <c r="C12" s="4">
        <v>1251308</v>
      </c>
      <c r="D12" s="4">
        <v>65068000</v>
      </c>
      <c r="E12" s="4">
        <v>76882248</v>
      </c>
      <c r="F12" s="4">
        <v>4160000</v>
      </c>
      <c r="G12" s="4">
        <v>22646000</v>
      </c>
      <c r="H12" s="4">
        <v>17512000</v>
      </c>
      <c r="I12" s="4">
        <v>20750000</v>
      </c>
    </row>
    <row r="13" spans="1:9" x14ac:dyDescent="0.25">
      <c r="A13" t="s">
        <v>55</v>
      </c>
      <c r="B13" t="s">
        <v>56</v>
      </c>
      <c r="C13" s="4">
        <v>1098462</v>
      </c>
      <c r="D13" s="4">
        <v>57120000</v>
      </c>
      <c r="E13" s="4">
        <v>67491147</v>
      </c>
      <c r="F13" s="4">
        <v>2760000</v>
      </c>
      <c r="G13" s="4">
        <v>16730000</v>
      </c>
      <c r="H13" s="4">
        <v>12380000</v>
      </c>
      <c r="I13" s="4">
        <v>25250000</v>
      </c>
    </row>
    <row r="14" spans="1:9" x14ac:dyDescent="0.25">
      <c r="A14" t="s">
        <v>41</v>
      </c>
      <c r="B14" t="s">
        <v>42</v>
      </c>
      <c r="C14" s="4">
        <v>1071923</v>
      </c>
      <c r="D14" s="4">
        <v>55740000</v>
      </c>
      <c r="E14" s="4">
        <v>65860583</v>
      </c>
      <c r="F14" s="4">
        <v>4680000</v>
      </c>
      <c r="G14" s="4">
        <v>21320000</v>
      </c>
      <c r="H14" s="4">
        <v>10920000</v>
      </c>
      <c r="I14" s="4">
        <v>18820000</v>
      </c>
    </row>
    <row r="15" spans="1:9" x14ac:dyDescent="0.25">
      <c r="A15" t="s">
        <v>33</v>
      </c>
      <c r="B15" t="s">
        <v>34</v>
      </c>
      <c r="C15" s="4">
        <v>979231</v>
      </c>
      <c r="D15" s="4">
        <v>50920000</v>
      </c>
      <c r="E15" s="4">
        <v>60165427</v>
      </c>
      <c r="F15" s="4">
        <v>10180000</v>
      </c>
      <c r="G15" s="4">
        <v>13780000</v>
      </c>
      <c r="H15" s="4">
        <v>11180000</v>
      </c>
      <c r="I15" s="4">
        <v>15780000</v>
      </c>
    </row>
    <row r="16" spans="1:9" x14ac:dyDescent="0.25">
      <c r="A16" t="s">
        <v>86</v>
      </c>
      <c r="B16" t="s">
        <v>87</v>
      </c>
      <c r="C16" s="4">
        <v>962192</v>
      </c>
      <c r="D16" s="4">
        <v>50034000</v>
      </c>
      <c r="E16" s="4">
        <v>59118557</v>
      </c>
      <c r="F16" s="4">
        <v>7020000</v>
      </c>
      <c r="G16" s="4">
        <v>12354000</v>
      </c>
      <c r="H16" s="4">
        <v>13950000</v>
      </c>
      <c r="I16" s="4">
        <v>16710000</v>
      </c>
    </row>
    <row r="17" spans="1:9" x14ac:dyDescent="0.25">
      <c r="A17" t="s">
        <v>82</v>
      </c>
      <c r="B17" t="s">
        <v>83</v>
      </c>
      <c r="C17" s="4">
        <v>922500</v>
      </c>
      <c r="D17" s="4">
        <v>47970000</v>
      </c>
      <c r="E17" s="4">
        <v>56679801</v>
      </c>
      <c r="F17" s="4">
        <v>3430000</v>
      </c>
      <c r="G17" s="4">
        <v>15090000</v>
      </c>
      <c r="H17" s="4">
        <v>17360000</v>
      </c>
      <c r="I17" s="4">
        <v>12090000</v>
      </c>
    </row>
    <row r="18" spans="1:9" x14ac:dyDescent="0.25">
      <c r="A18" t="s">
        <v>57</v>
      </c>
      <c r="B18" t="s">
        <v>58</v>
      </c>
      <c r="C18" s="4">
        <v>869615</v>
      </c>
      <c r="D18" s="4">
        <v>45220000</v>
      </c>
      <c r="E18" s="4">
        <v>53430493</v>
      </c>
      <c r="F18" s="4">
        <v>2600000</v>
      </c>
      <c r="G18" s="4">
        <v>16280000</v>
      </c>
      <c r="H18" s="4">
        <v>10300000</v>
      </c>
      <c r="I18" s="4">
        <v>16040000</v>
      </c>
    </row>
    <row r="19" spans="1:9" x14ac:dyDescent="0.25">
      <c r="A19" t="s">
        <v>53</v>
      </c>
      <c r="B19" t="s">
        <v>54</v>
      </c>
      <c r="C19" s="4">
        <v>850192</v>
      </c>
      <c r="D19" s="4">
        <v>44210000</v>
      </c>
      <c r="E19" s="4">
        <v>52237108</v>
      </c>
      <c r="F19" s="4">
        <v>4940000</v>
      </c>
      <c r="G19" s="4">
        <v>15140000</v>
      </c>
      <c r="H19" s="4">
        <v>12170000</v>
      </c>
      <c r="I19" s="4">
        <v>11960000</v>
      </c>
    </row>
    <row r="20" spans="1:9" x14ac:dyDescent="0.25">
      <c r="A20" t="s">
        <v>39</v>
      </c>
      <c r="B20" t="s">
        <v>40</v>
      </c>
      <c r="C20" s="4">
        <v>513577</v>
      </c>
      <c r="D20" s="4">
        <v>26706000</v>
      </c>
      <c r="E20" s="4">
        <v>31554947</v>
      </c>
      <c r="F20" s="4">
        <v>4750000</v>
      </c>
      <c r="G20" s="4">
        <v>6820000</v>
      </c>
      <c r="H20" s="4">
        <v>7330000</v>
      </c>
      <c r="I20" s="4">
        <v>7806000</v>
      </c>
    </row>
    <row r="21" spans="1:9" x14ac:dyDescent="0.25">
      <c r="A21" t="s">
        <v>88</v>
      </c>
      <c r="B21" t="s">
        <v>89</v>
      </c>
      <c r="C21" s="4">
        <v>460962</v>
      </c>
      <c r="D21" s="4">
        <v>23970000</v>
      </c>
      <c r="E21" s="4">
        <v>28322177</v>
      </c>
      <c r="F21" s="4">
        <v>1820000</v>
      </c>
      <c r="G21" s="4">
        <v>8410000</v>
      </c>
      <c r="H21" s="4">
        <v>5520000</v>
      </c>
      <c r="I21" s="4">
        <v>8220000</v>
      </c>
    </row>
    <row r="22" spans="1:9" x14ac:dyDescent="0.25">
      <c r="B22" t="s">
        <v>49</v>
      </c>
      <c r="C22" s="4">
        <v>30197192</v>
      </c>
      <c r="D22" s="4">
        <v>1570254000</v>
      </c>
      <c r="E22" s="4">
        <v>1855361370</v>
      </c>
      <c r="F22" s="4">
        <v>144996000</v>
      </c>
      <c r="G22" s="4">
        <v>470970000</v>
      </c>
      <c r="H22" s="4">
        <v>370912000</v>
      </c>
      <c r="I22" s="4">
        <v>583376000</v>
      </c>
    </row>
    <row r="26" spans="1:9" x14ac:dyDescent="0.25">
      <c r="D26" t="s">
        <v>100</v>
      </c>
      <c r="E26" cm="1">
        <f t="array" ref="E26">SUM(SUMIF(A2:A21, {"*Arsenal*","*Everton*","*Liverpool*","*Manchester United*","*Tottenham*","*Chelsea*","*Manchester City*","*Crystal Palace*","*West Ham*"}, D2:D21))</f>
        <v>1035176000</v>
      </c>
    </row>
    <row r="27" spans="1:9" x14ac:dyDescent="0.25">
      <c r="D27" t="s">
        <v>101</v>
      </c>
      <c r="E27">
        <f>E26/9</f>
        <v>115019555.55555555</v>
      </c>
    </row>
    <row r="29" spans="1:9" x14ac:dyDescent="0.25">
      <c r="D29" t="s">
        <v>15</v>
      </c>
      <c r="E29">
        <f>VLOOKUP(D29,$A$2:$D$21,4,FALSE)/$E$27</f>
        <v>1.0316506565067196</v>
      </c>
    </row>
    <row r="30" spans="1:9" x14ac:dyDescent="0.25">
      <c r="D30" t="s">
        <v>21</v>
      </c>
      <c r="E30">
        <f t="shared" ref="E30:E37" si="0">VLOOKUP(D30,$A$2:$D$21,4,FALSE)/$E$27</f>
        <v>0.80742791563946614</v>
      </c>
    </row>
    <row r="31" spans="1:9" x14ac:dyDescent="0.25">
      <c r="D31" t="s">
        <v>17</v>
      </c>
      <c r="E31">
        <f t="shared" si="0"/>
        <v>1.0063506109106084</v>
      </c>
    </row>
    <row r="32" spans="1:9" x14ac:dyDescent="0.25">
      <c r="D32" t="s">
        <v>13</v>
      </c>
      <c r="E32">
        <f t="shared" si="0"/>
        <v>1.4293221635741169</v>
      </c>
    </row>
    <row r="33" spans="4:5" x14ac:dyDescent="0.25">
      <c r="D33" t="s">
        <v>19</v>
      </c>
      <c r="E33">
        <f t="shared" si="0"/>
        <v>0.92488620292587931</v>
      </c>
    </row>
    <row r="34" spans="4:5" x14ac:dyDescent="0.25">
      <c r="D34" t="s">
        <v>11</v>
      </c>
      <c r="E34">
        <f t="shared" si="0"/>
        <v>1.1255477329458952</v>
      </c>
    </row>
    <row r="35" spans="4:5" x14ac:dyDescent="0.25">
      <c r="D35" t="s">
        <v>47</v>
      </c>
      <c r="E35">
        <f t="shared" si="0"/>
        <v>0.64658570136865612</v>
      </c>
    </row>
    <row r="36" spans="4:5" x14ac:dyDescent="0.25">
      <c r="D36" t="s">
        <v>23</v>
      </c>
      <c r="E36">
        <f t="shared" si="0"/>
        <v>0.67045990247069098</v>
      </c>
    </row>
    <row r="37" spans="4:5" x14ac:dyDescent="0.25">
      <c r="D37" t="s">
        <v>9</v>
      </c>
      <c r="E37">
        <f t="shared" si="0"/>
        <v>1.3577691136579675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"/>
  <sheetViews>
    <sheetView topLeftCell="A4" workbookViewId="0">
      <selection activeCell="E30" sqref="E30"/>
    </sheetView>
  </sheetViews>
  <sheetFormatPr defaultRowHeight="15" x14ac:dyDescent="0.25"/>
  <cols>
    <col min="1" max="1" width="24.5703125" bestFit="1" customWidth="1"/>
    <col min="3" max="3" width="13.85546875" customWidth="1"/>
    <col min="4" max="4" width="20.28515625" customWidth="1"/>
    <col min="5" max="5" width="13.140625" customWidth="1"/>
    <col min="6" max="6" width="11.140625" customWidth="1"/>
    <col min="7" max="7" width="13.42578125" customWidth="1"/>
    <col min="8" max="8" width="13.5703125" customWidth="1"/>
    <col min="9" max="9" width="12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13</v>
      </c>
      <c r="B2" t="s">
        <v>14</v>
      </c>
      <c r="C2" s="4">
        <v>3700192</v>
      </c>
      <c r="D2" s="4">
        <v>192410000</v>
      </c>
      <c r="E2" s="4">
        <v>221760675</v>
      </c>
      <c r="F2" s="4">
        <v>30850000</v>
      </c>
      <c r="G2" s="4">
        <v>51380000</v>
      </c>
      <c r="H2" s="4">
        <v>36920000</v>
      </c>
      <c r="I2" s="4">
        <v>73260000</v>
      </c>
    </row>
    <row r="3" spans="1:9" x14ac:dyDescent="0.25">
      <c r="A3" t="s">
        <v>11</v>
      </c>
      <c r="B3" t="s">
        <v>12</v>
      </c>
      <c r="C3" s="4">
        <v>3132923</v>
      </c>
      <c r="D3" s="4">
        <v>162912000</v>
      </c>
      <c r="E3" s="4">
        <v>187762981</v>
      </c>
      <c r="F3" s="4">
        <v>12730000</v>
      </c>
      <c r="G3" s="4">
        <v>54362000</v>
      </c>
      <c r="H3" s="4">
        <v>31460000</v>
      </c>
      <c r="I3" s="4">
        <v>64360000</v>
      </c>
    </row>
    <row r="4" spans="1:9" x14ac:dyDescent="0.25">
      <c r="A4" t="s">
        <v>15</v>
      </c>
      <c r="B4" t="s">
        <v>16</v>
      </c>
      <c r="C4" s="4">
        <v>2949231</v>
      </c>
      <c r="D4" s="4">
        <v>153360000</v>
      </c>
      <c r="E4" s="4">
        <v>176753893</v>
      </c>
      <c r="F4" s="4">
        <v>8620000</v>
      </c>
      <c r="G4" s="4">
        <v>49030000</v>
      </c>
      <c r="H4" s="4">
        <v>30940000</v>
      </c>
      <c r="I4" s="4">
        <v>64770000</v>
      </c>
    </row>
    <row r="5" spans="1:9" x14ac:dyDescent="0.25">
      <c r="A5" t="s">
        <v>9</v>
      </c>
      <c r="B5" t="s">
        <v>10</v>
      </c>
      <c r="C5" s="4">
        <v>2760923</v>
      </c>
      <c r="D5" s="4">
        <v>143568000</v>
      </c>
      <c r="E5" s="4">
        <v>165468201</v>
      </c>
      <c r="F5" s="4">
        <v>7072000</v>
      </c>
      <c r="G5" s="4">
        <v>41986000</v>
      </c>
      <c r="H5" s="4">
        <v>25020000</v>
      </c>
      <c r="I5" s="4">
        <v>69490000</v>
      </c>
    </row>
    <row r="6" spans="1:9" x14ac:dyDescent="0.25">
      <c r="A6" t="s">
        <v>19</v>
      </c>
      <c r="B6" t="s">
        <v>20</v>
      </c>
      <c r="C6" s="4">
        <v>2611269</v>
      </c>
      <c r="D6" s="4">
        <v>135786000</v>
      </c>
      <c r="E6" s="4">
        <v>156499115</v>
      </c>
      <c r="F6" s="4">
        <v>8710000</v>
      </c>
      <c r="G6" s="4">
        <v>29776000</v>
      </c>
      <c r="H6" s="4">
        <v>28640000</v>
      </c>
      <c r="I6" s="4">
        <v>68660000</v>
      </c>
    </row>
    <row r="7" spans="1:9" x14ac:dyDescent="0.25">
      <c r="A7" t="s">
        <v>17</v>
      </c>
      <c r="B7" t="s">
        <v>18</v>
      </c>
      <c r="C7" s="4">
        <v>2529423</v>
      </c>
      <c r="D7" s="4">
        <v>131530000</v>
      </c>
      <c r="E7" s="4">
        <v>151593893</v>
      </c>
      <c r="F7" s="4">
        <v>8110000</v>
      </c>
      <c r="G7" s="4">
        <v>37780000</v>
      </c>
      <c r="H7" s="4">
        <v>44980000</v>
      </c>
      <c r="I7" s="4">
        <v>40660000</v>
      </c>
    </row>
    <row r="8" spans="1:9" x14ac:dyDescent="0.25">
      <c r="A8" t="s">
        <v>21</v>
      </c>
      <c r="B8" t="s">
        <v>22</v>
      </c>
      <c r="C8" s="4">
        <v>1973712</v>
      </c>
      <c r="D8" s="4">
        <v>102633000</v>
      </c>
      <c r="E8" s="4">
        <v>118288876</v>
      </c>
      <c r="F8" s="4">
        <v>7843000</v>
      </c>
      <c r="G8" s="4">
        <v>28210000</v>
      </c>
      <c r="H8" s="4">
        <v>27060000</v>
      </c>
      <c r="I8" s="4">
        <v>39520000</v>
      </c>
    </row>
    <row r="9" spans="1:9" x14ac:dyDescent="0.25">
      <c r="A9" t="s">
        <v>47</v>
      </c>
      <c r="B9" t="s">
        <v>48</v>
      </c>
      <c r="C9" s="4">
        <v>1739904</v>
      </c>
      <c r="D9" s="4">
        <v>90475000</v>
      </c>
      <c r="E9" s="4">
        <v>104276266</v>
      </c>
      <c r="F9" s="4">
        <v>8160000</v>
      </c>
      <c r="G9" s="4">
        <v>30810000</v>
      </c>
      <c r="H9" s="4">
        <v>15340000</v>
      </c>
      <c r="I9" s="4">
        <v>36165000</v>
      </c>
    </row>
    <row r="10" spans="1:9" x14ac:dyDescent="0.25">
      <c r="A10" t="s">
        <v>51</v>
      </c>
      <c r="B10" t="s">
        <v>52</v>
      </c>
      <c r="C10" s="4">
        <v>1532308</v>
      </c>
      <c r="D10" s="4">
        <v>79680000</v>
      </c>
      <c r="E10" s="4">
        <v>91834572</v>
      </c>
      <c r="F10" s="4">
        <v>10040000</v>
      </c>
      <c r="G10" s="4">
        <v>22320000</v>
      </c>
      <c r="H10" s="4">
        <v>16770000</v>
      </c>
      <c r="I10" s="4">
        <v>30550000</v>
      </c>
    </row>
    <row r="11" spans="1:9" x14ac:dyDescent="0.25">
      <c r="A11" t="s">
        <v>23</v>
      </c>
      <c r="B11" t="s">
        <v>24</v>
      </c>
      <c r="C11" s="4">
        <v>1323385</v>
      </c>
      <c r="D11" s="4">
        <v>68816000</v>
      </c>
      <c r="E11" s="4">
        <v>79313352</v>
      </c>
      <c r="F11" s="4">
        <v>5616000</v>
      </c>
      <c r="G11" s="4">
        <v>21600000</v>
      </c>
      <c r="H11" s="4">
        <v>12480000</v>
      </c>
      <c r="I11" s="4">
        <v>29120000</v>
      </c>
    </row>
    <row r="12" spans="1:9" x14ac:dyDescent="0.25">
      <c r="A12" t="s">
        <v>33</v>
      </c>
      <c r="B12" t="s">
        <v>34</v>
      </c>
      <c r="C12" s="4">
        <v>1245712</v>
      </c>
      <c r="D12" s="4">
        <v>64777024</v>
      </c>
      <c r="E12" s="4">
        <v>74658263</v>
      </c>
      <c r="F12" s="4">
        <v>6277024</v>
      </c>
      <c r="G12" s="4">
        <v>19240000</v>
      </c>
      <c r="H12" s="4">
        <v>16960000</v>
      </c>
      <c r="I12" s="4">
        <v>22300000</v>
      </c>
    </row>
    <row r="13" spans="1:9" x14ac:dyDescent="0.25">
      <c r="A13" t="s">
        <v>41</v>
      </c>
      <c r="B13" t="s">
        <v>42</v>
      </c>
      <c r="C13" s="4">
        <v>1208731</v>
      </c>
      <c r="D13" s="4">
        <v>62854000</v>
      </c>
      <c r="E13" s="4">
        <v>72441895</v>
      </c>
      <c r="F13" s="4">
        <v>8380000</v>
      </c>
      <c r="G13" s="4">
        <v>18434000</v>
      </c>
      <c r="H13" s="4">
        <v>9480000</v>
      </c>
      <c r="I13" s="4">
        <v>26560000</v>
      </c>
    </row>
    <row r="14" spans="1:9" x14ac:dyDescent="0.25">
      <c r="A14" t="s">
        <v>27</v>
      </c>
      <c r="B14" t="s">
        <v>28</v>
      </c>
      <c r="C14" s="4">
        <v>1159000</v>
      </c>
      <c r="D14" s="4">
        <v>60268000</v>
      </c>
      <c r="E14" s="4">
        <v>69461421</v>
      </c>
      <c r="F14" s="4">
        <v>4186000</v>
      </c>
      <c r="G14" s="4">
        <v>21740000</v>
      </c>
      <c r="H14" s="4">
        <v>8082000</v>
      </c>
      <c r="I14" s="4">
        <v>26260000</v>
      </c>
    </row>
    <row r="15" spans="1:9" x14ac:dyDescent="0.25">
      <c r="A15" t="s">
        <v>35</v>
      </c>
      <c r="B15" t="s">
        <v>36</v>
      </c>
      <c r="C15" s="4">
        <v>1074785</v>
      </c>
      <c r="D15" s="4">
        <v>55888800</v>
      </c>
      <c r="E15" s="4">
        <v>64414208</v>
      </c>
      <c r="F15" s="4">
        <v>6019000</v>
      </c>
      <c r="G15" s="4">
        <v>16660800</v>
      </c>
      <c r="H15" s="4">
        <v>19968000</v>
      </c>
      <c r="I15" s="4">
        <v>13241000</v>
      </c>
    </row>
    <row r="16" spans="1:9" x14ac:dyDescent="0.25">
      <c r="A16" t="s">
        <v>86</v>
      </c>
      <c r="B16" t="s">
        <v>87</v>
      </c>
      <c r="C16" s="4">
        <v>1073477</v>
      </c>
      <c r="D16" s="4">
        <v>55820800</v>
      </c>
      <c r="E16" s="4">
        <v>64335833</v>
      </c>
      <c r="F16" s="4">
        <v>5500000</v>
      </c>
      <c r="G16" s="4">
        <v>18086000</v>
      </c>
      <c r="H16" s="4">
        <v>11856000</v>
      </c>
      <c r="I16" s="4">
        <v>20378800</v>
      </c>
    </row>
    <row r="17" spans="1:9" x14ac:dyDescent="0.25">
      <c r="A17" t="s">
        <v>82</v>
      </c>
      <c r="B17" t="s">
        <v>83</v>
      </c>
      <c r="C17" s="4">
        <v>1013402</v>
      </c>
      <c r="D17" s="4">
        <v>52696900</v>
      </c>
      <c r="E17" s="4">
        <v>60735407</v>
      </c>
      <c r="F17" s="4">
        <v>3536000</v>
      </c>
      <c r="G17" s="4">
        <v>14910000</v>
      </c>
      <c r="H17" s="4">
        <v>8222900</v>
      </c>
      <c r="I17" s="4">
        <v>26028000</v>
      </c>
    </row>
    <row r="18" spans="1:9" x14ac:dyDescent="0.25">
      <c r="A18" t="s">
        <v>29</v>
      </c>
      <c r="B18" t="s">
        <v>30</v>
      </c>
      <c r="C18" s="4">
        <v>716696</v>
      </c>
      <c r="D18" s="4">
        <v>37268200</v>
      </c>
      <c r="E18" s="4">
        <v>42953179</v>
      </c>
      <c r="F18" s="4">
        <v>2594000</v>
      </c>
      <c r="G18" s="4">
        <v>11438000</v>
      </c>
      <c r="H18" s="4">
        <v>7598000</v>
      </c>
      <c r="I18" s="4">
        <v>15638200</v>
      </c>
    </row>
    <row r="19" spans="1:9" x14ac:dyDescent="0.25">
      <c r="A19" t="s">
        <v>53</v>
      </c>
      <c r="B19" t="s">
        <v>54</v>
      </c>
      <c r="C19" s="4">
        <v>701750</v>
      </c>
      <c r="D19" s="4">
        <v>36491000</v>
      </c>
      <c r="E19" s="4">
        <v>42057423</v>
      </c>
      <c r="F19" s="4">
        <v>3095000</v>
      </c>
      <c r="G19" s="4">
        <v>13320000</v>
      </c>
      <c r="H19" s="4">
        <v>9936000</v>
      </c>
      <c r="I19" s="4">
        <v>10140000</v>
      </c>
    </row>
    <row r="20" spans="1:9" x14ac:dyDescent="0.25">
      <c r="A20" t="s">
        <v>90</v>
      </c>
      <c r="B20" t="s">
        <v>91</v>
      </c>
      <c r="C20" s="4">
        <v>614027</v>
      </c>
      <c r="D20" s="4">
        <v>31929400</v>
      </c>
      <c r="E20" s="4">
        <v>36799986</v>
      </c>
      <c r="F20" s="4">
        <v>2652000</v>
      </c>
      <c r="G20" s="4">
        <v>9062400</v>
      </c>
      <c r="H20" s="4">
        <v>5044000</v>
      </c>
      <c r="I20" s="4">
        <v>15171000</v>
      </c>
    </row>
    <row r="21" spans="1:9" x14ac:dyDescent="0.25">
      <c r="A21" t="s">
        <v>88</v>
      </c>
      <c r="B21" t="s">
        <v>89</v>
      </c>
      <c r="C21" s="4">
        <v>398215</v>
      </c>
      <c r="D21" s="4">
        <v>20707200</v>
      </c>
      <c r="E21" s="4">
        <v>23865925</v>
      </c>
      <c r="F21" s="4">
        <v>2366000</v>
      </c>
      <c r="G21" s="4">
        <v>6703800</v>
      </c>
      <c r="H21" s="4">
        <v>4055800</v>
      </c>
      <c r="I21" s="4">
        <v>7581600</v>
      </c>
    </row>
    <row r="22" spans="1:9" x14ac:dyDescent="0.25">
      <c r="B22" t="s">
        <v>49</v>
      </c>
      <c r="C22" s="4">
        <v>33459065</v>
      </c>
      <c r="D22" s="4">
        <v>1739871324</v>
      </c>
      <c r="E22" s="4">
        <v>2005275364</v>
      </c>
      <c r="F22" s="4">
        <v>152356024</v>
      </c>
      <c r="G22" s="4">
        <v>516849000</v>
      </c>
      <c r="H22" s="4">
        <v>370812700</v>
      </c>
      <c r="I22" s="4">
        <v>699853600</v>
      </c>
    </row>
    <row r="25" spans="1:9" x14ac:dyDescent="0.25">
      <c r="D25" t="s">
        <v>100</v>
      </c>
      <c r="E25" cm="1">
        <f t="array" ref="E25">SUM(SUMIF(A2:A21, {"*Arsenal*","*Everton*","*Liverpool*","*Manchester United*","*Tottenham*","*Chelsea*","*Manchester City*","*Crystal Palace*","*West Ham*"}, D2:D21))</f>
        <v>1181490000</v>
      </c>
    </row>
    <row r="26" spans="1:9" x14ac:dyDescent="0.25">
      <c r="D26" t="s">
        <v>101</v>
      </c>
      <c r="E26">
        <f>E25/9</f>
        <v>131276666.66666667</v>
      </c>
    </row>
    <row r="29" spans="1:9" x14ac:dyDescent="0.25">
      <c r="D29" t="s">
        <v>15</v>
      </c>
      <c r="E29">
        <f>VLOOKUP(D29,$A$2:$D$21,4,FALSE)/$E$26</f>
        <v>1.168219790264835</v>
      </c>
    </row>
    <row r="30" spans="1:9" x14ac:dyDescent="0.25">
      <c r="D30" t="s">
        <v>21</v>
      </c>
      <c r="E30">
        <f t="shared" ref="E30:E37" si="0">VLOOKUP(D30,$A$2:$D$21,4,FALSE)/$E$26</f>
        <v>0.78180687098494273</v>
      </c>
    </row>
    <row r="31" spans="1:9" x14ac:dyDescent="0.25">
      <c r="D31" t="s">
        <v>17</v>
      </c>
      <c r="E31">
        <f t="shared" si="0"/>
        <v>1.0019297666505853</v>
      </c>
    </row>
    <row r="32" spans="1:9" x14ac:dyDescent="0.25">
      <c r="D32" t="s">
        <v>13</v>
      </c>
      <c r="E32">
        <f t="shared" si="0"/>
        <v>1.4656831627859737</v>
      </c>
    </row>
    <row r="33" spans="4:5" x14ac:dyDescent="0.25">
      <c r="D33" t="s">
        <v>19</v>
      </c>
      <c r="E33">
        <f t="shared" si="0"/>
        <v>1.0343498463804179</v>
      </c>
    </row>
    <row r="34" spans="4:5" x14ac:dyDescent="0.25">
      <c r="D34" t="s">
        <v>11</v>
      </c>
      <c r="E34">
        <f t="shared" si="0"/>
        <v>1.2409821496584821</v>
      </c>
    </row>
    <row r="35" spans="4:5" x14ac:dyDescent="0.25">
      <c r="D35" t="s">
        <v>47</v>
      </c>
      <c r="E35">
        <f t="shared" si="0"/>
        <v>0.68919330675672241</v>
      </c>
    </row>
    <row r="36" spans="4:5" x14ac:dyDescent="0.25">
      <c r="D36" t="s">
        <v>23</v>
      </c>
      <c r="E36">
        <f t="shared" si="0"/>
        <v>0.52420587563161769</v>
      </c>
    </row>
    <row r="37" spans="4:5" x14ac:dyDescent="0.25">
      <c r="D37" t="s">
        <v>9</v>
      </c>
      <c r="E37">
        <f t="shared" si="0"/>
        <v>1.0936292308864231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6"/>
  <sheetViews>
    <sheetView topLeftCell="A13" workbookViewId="0">
      <selection activeCell="E29" sqref="E29"/>
    </sheetView>
  </sheetViews>
  <sheetFormatPr defaultRowHeight="15" x14ac:dyDescent="0.25"/>
  <cols>
    <col min="1" max="1" width="24.5703125" bestFit="1" customWidth="1"/>
    <col min="3" max="3" width="11.7109375" customWidth="1"/>
    <col min="4" max="4" width="18.5703125" customWidth="1"/>
    <col min="5" max="5" width="14.42578125" customWidth="1"/>
    <col min="6" max="6" width="13.85546875" customWidth="1"/>
    <col min="7" max="7" width="15.28515625" customWidth="1"/>
    <col min="8" max="8" width="12.5703125" customWidth="1"/>
    <col min="9" max="9" width="11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13</v>
      </c>
      <c r="B2" t="s">
        <v>14</v>
      </c>
      <c r="C2" s="4">
        <v>4491923</v>
      </c>
      <c r="D2" s="4">
        <v>233580000</v>
      </c>
      <c r="E2" s="4">
        <v>249449352</v>
      </c>
      <c r="F2" s="4">
        <v>28600000</v>
      </c>
      <c r="G2" s="4">
        <v>60480000</v>
      </c>
      <c r="H2" s="4">
        <v>36920000</v>
      </c>
      <c r="I2" s="4">
        <v>107580000</v>
      </c>
    </row>
    <row r="3" spans="1:9" x14ac:dyDescent="0.25">
      <c r="A3" t="s">
        <v>11</v>
      </c>
      <c r="B3" t="s">
        <v>12</v>
      </c>
      <c r="C3" s="4">
        <v>3602692</v>
      </c>
      <c r="D3" s="4">
        <v>187340000</v>
      </c>
      <c r="E3" s="4">
        <v>200067815</v>
      </c>
      <c r="F3" s="4">
        <v>12480000</v>
      </c>
      <c r="G3" s="4">
        <v>51220000</v>
      </c>
      <c r="H3" s="4">
        <v>51100000</v>
      </c>
      <c r="I3" s="4">
        <v>72540000</v>
      </c>
    </row>
    <row r="4" spans="1:9" x14ac:dyDescent="0.25">
      <c r="A4" t="s">
        <v>9</v>
      </c>
      <c r="B4" t="s">
        <v>10</v>
      </c>
      <c r="C4" s="4">
        <v>3241769</v>
      </c>
      <c r="D4" s="4">
        <v>168572000</v>
      </c>
      <c r="E4" s="4">
        <v>180024728</v>
      </c>
      <c r="F4" s="4">
        <v>8892000</v>
      </c>
      <c r="G4" s="4">
        <v>60320000</v>
      </c>
      <c r="H4" s="4">
        <v>24500000</v>
      </c>
      <c r="I4" s="4">
        <v>74860000</v>
      </c>
    </row>
    <row r="5" spans="1:9" x14ac:dyDescent="0.25">
      <c r="A5" t="s">
        <v>17</v>
      </c>
      <c r="B5" t="s">
        <v>18</v>
      </c>
      <c r="C5" s="4">
        <v>2981000</v>
      </c>
      <c r="D5" s="4">
        <v>155012000</v>
      </c>
      <c r="E5" s="4">
        <v>165543467</v>
      </c>
      <c r="F5" s="4">
        <v>14560000</v>
      </c>
      <c r="G5" s="4">
        <v>49660000</v>
      </c>
      <c r="H5" s="4">
        <v>50440000</v>
      </c>
      <c r="I5" s="4">
        <v>40352000</v>
      </c>
    </row>
    <row r="6" spans="1:9" x14ac:dyDescent="0.25">
      <c r="A6" t="s">
        <v>15</v>
      </c>
      <c r="B6" t="s">
        <v>16</v>
      </c>
      <c r="C6" s="4">
        <v>2270654</v>
      </c>
      <c r="D6" s="4">
        <v>118074000</v>
      </c>
      <c r="E6" s="4">
        <v>126095909</v>
      </c>
      <c r="F6" s="4">
        <v>8400000</v>
      </c>
      <c r="G6" s="4">
        <v>37024000</v>
      </c>
      <c r="H6" s="4">
        <v>27300000</v>
      </c>
      <c r="I6" s="4">
        <v>45350000</v>
      </c>
    </row>
    <row r="7" spans="1:9" x14ac:dyDescent="0.25">
      <c r="A7" t="s">
        <v>19</v>
      </c>
      <c r="B7" t="s">
        <v>20</v>
      </c>
      <c r="C7" s="4">
        <v>2123385</v>
      </c>
      <c r="D7" s="4">
        <v>110416000</v>
      </c>
      <c r="E7" s="4">
        <v>117917628</v>
      </c>
      <c r="F7" s="4">
        <v>6760000</v>
      </c>
      <c r="G7" s="4">
        <v>29516000</v>
      </c>
      <c r="H7" s="4">
        <v>30680000</v>
      </c>
      <c r="I7" s="4">
        <v>43460000</v>
      </c>
    </row>
    <row r="8" spans="1:9" x14ac:dyDescent="0.25">
      <c r="A8" t="s">
        <v>21</v>
      </c>
      <c r="B8" t="s">
        <v>22</v>
      </c>
      <c r="C8" s="4">
        <v>2069269</v>
      </c>
      <c r="D8" s="4">
        <v>107602000</v>
      </c>
      <c r="E8" s="4">
        <v>114912447</v>
      </c>
      <c r="F8" s="4">
        <v>8060000</v>
      </c>
      <c r="G8" s="4">
        <v>31512000</v>
      </c>
      <c r="H8" s="4">
        <v>31320000</v>
      </c>
      <c r="I8" s="4">
        <v>36710000</v>
      </c>
    </row>
    <row r="9" spans="1:9" x14ac:dyDescent="0.25">
      <c r="A9" t="s">
        <v>33</v>
      </c>
      <c r="B9" t="s">
        <v>34</v>
      </c>
      <c r="C9" s="4">
        <v>1640962</v>
      </c>
      <c r="D9" s="4">
        <v>85330000</v>
      </c>
      <c r="E9" s="4">
        <v>91127293</v>
      </c>
      <c r="F9" s="4">
        <v>8320000</v>
      </c>
      <c r="G9" s="4">
        <v>26160000</v>
      </c>
      <c r="H9" s="4">
        <v>14380000</v>
      </c>
      <c r="I9" s="4">
        <v>36470000</v>
      </c>
    </row>
    <row r="10" spans="1:9" x14ac:dyDescent="0.25">
      <c r="A10" t="s">
        <v>51</v>
      </c>
      <c r="B10" t="s">
        <v>52</v>
      </c>
      <c r="C10" s="4">
        <v>1569038</v>
      </c>
      <c r="D10" s="4">
        <v>81590000</v>
      </c>
      <c r="E10" s="4">
        <v>87133199</v>
      </c>
      <c r="F10" s="4">
        <v>10040000</v>
      </c>
      <c r="G10" s="4">
        <v>28040000</v>
      </c>
      <c r="H10" s="4">
        <v>18070000</v>
      </c>
      <c r="I10" s="4">
        <v>25440000</v>
      </c>
    </row>
    <row r="11" spans="1:9" x14ac:dyDescent="0.25">
      <c r="A11" t="s">
        <v>23</v>
      </c>
      <c r="B11" t="s">
        <v>24</v>
      </c>
      <c r="C11" s="4">
        <v>1498769</v>
      </c>
      <c r="D11" s="4">
        <v>77936000</v>
      </c>
      <c r="E11" s="4">
        <v>83230945</v>
      </c>
      <c r="F11" s="4">
        <v>11856000</v>
      </c>
      <c r="G11" s="4">
        <v>28860000</v>
      </c>
      <c r="H11" s="4">
        <v>10180000</v>
      </c>
      <c r="I11" s="4">
        <v>27040000</v>
      </c>
    </row>
    <row r="12" spans="1:9" x14ac:dyDescent="0.25">
      <c r="A12" t="s">
        <v>27</v>
      </c>
      <c r="B12" t="s">
        <v>28</v>
      </c>
      <c r="C12" s="4">
        <v>1416769</v>
      </c>
      <c r="D12" s="4">
        <v>73672000</v>
      </c>
      <c r="E12" s="4">
        <v>78677252</v>
      </c>
      <c r="F12" s="4">
        <v>4940000</v>
      </c>
      <c r="G12" s="4">
        <v>27640000</v>
      </c>
      <c r="H12" s="4">
        <v>17052000</v>
      </c>
      <c r="I12" s="4">
        <v>24040000</v>
      </c>
    </row>
    <row r="13" spans="1:9" x14ac:dyDescent="0.25">
      <c r="A13" t="s">
        <v>47</v>
      </c>
      <c r="B13" t="s">
        <v>48</v>
      </c>
      <c r="C13" s="4">
        <v>1382885</v>
      </c>
      <c r="D13" s="4">
        <v>71910000</v>
      </c>
      <c r="E13" s="4">
        <v>76795542</v>
      </c>
      <c r="F13" s="4">
        <v>6000000</v>
      </c>
      <c r="G13" s="4">
        <v>20930000</v>
      </c>
      <c r="H13" s="4">
        <v>18980000</v>
      </c>
      <c r="I13" s="4">
        <v>26000000</v>
      </c>
    </row>
    <row r="14" spans="1:9" x14ac:dyDescent="0.25">
      <c r="A14" t="s">
        <v>86</v>
      </c>
      <c r="B14" t="s">
        <v>87</v>
      </c>
      <c r="C14" s="4">
        <v>1206846</v>
      </c>
      <c r="D14" s="4">
        <v>62756000</v>
      </c>
      <c r="E14" s="4">
        <v>67019621</v>
      </c>
      <c r="F14" s="4">
        <v>2120000</v>
      </c>
      <c r="G14" s="4">
        <v>20736000</v>
      </c>
      <c r="H14" s="4">
        <v>13080000</v>
      </c>
      <c r="I14" s="4">
        <v>26820000</v>
      </c>
    </row>
    <row r="15" spans="1:9" x14ac:dyDescent="0.25">
      <c r="A15" t="s">
        <v>41</v>
      </c>
      <c r="B15" t="s">
        <v>42</v>
      </c>
      <c r="C15" s="4">
        <v>1128015</v>
      </c>
      <c r="D15" s="4">
        <v>58656800</v>
      </c>
      <c r="E15" s="4">
        <v>62641924</v>
      </c>
      <c r="F15" s="4">
        <v>9270000</v>
      </c>
      <c r="G15" s="4">
        <v>12136800</v>
      </c>
      <c r="H15" s="4">
        <v>15720000</v>
      </c>
      <c r="I15" s="4">
        <v>21530000</v>
      </c>
    </row>
    <row r="16" spans="1:9" x14ac:dyDescent="0.25">
      <c r="A16" t="s">
        <v>82</v>
      </c>
      <c r="B16" t="s">
        <v>83</v>
      </c>
      <c r="C16" s="4">
        <v>958077</v>
      </c>
      <c r="D16" s="4">
        <v>49820000</v>
      </c>
      <c r="E16" s="4">
        <v>53204757</v>
      </c>
      <c r="F16" s="4">
        <v>3120000</v>
      </c>
      <c r="G16" s="4">
        <v>17640000</v>
      </c>
      <c r="H16" s="4">
        <v>12270000</v>
      </c>
      <c r="I16" s="4">
        <v>16790000</v>
      </c>
    </row>
    <row r="17" spans="1:9" x14ac:dyDescent="0.25">
      <c r="A17" t="s">
        <v>55</v>
      </c>
      <c r="B17" t="s">
        <v>56</v>
      </c>
      <c r="C17" s="4">
        <v>803269</v>
      </c>
      <c r="D17" s="4">
        <v>41770000</v>
      </c>
      <c r="E17" s="4">
        <v>44607843</v>
      </c>
      <c r="F17" s="4">
        <v>2580000</v>
      </c>
      <c r="G17" s="4">
        <v>14880000</v>
      </c>
      <c r="H17" s="4">
        <v>15030000</v>
      </c>
      <c r="I17" s="4">
        <v>9280000</v>
      </c>
    </row>
    <row r="18" spans="1:9" x14ac:dyDescent="0.25">
      <c r="A18" t="s">
        <v>53</v>
      </c>
      <c r="B18" t="s">
        <v>54</v>
      </c>
      <c r="C18" s="4">
        <v>785192</v>
      </c>
      <c r="D18" s="4">
        <v>40830000</v>
      </c>
      <c r="E18" s="4">
        <v>43603978</v>
      </c>
      <c r="F18" s="4">
        <v>2900000</v>
      </c>
      <c r="G18" s="4">
        <v>14940000</v>
      </c>
      <c r="H18" s="4">
        <v>7880000</v>
      </c>
      <c r="I18" s="4">
        <v>15110000</v>
      </c>
    </row>
    <row r="19" spans="1:9" x14ac:dyDescent="0.25">
      <c r="A19" t="s">
        <v>90</v>
      </c>
      <c r="B19" t="s">
        <v>91</v>
      </c>
      <c r="C19" s="4">
        <v>718346</v>
      </c>
      <c r="D19" s="4">
        <v>37354000</v>
      </c>
      <c r="E19" s="4">
        <v>39891819</v>
      </c>
      <c r="F19" s="4">
        <v>2080000</v>
      </c>
      <c r="G19" s="4">
        <v>13150000</v>
      </c>
      <c r="H19" s="4">
        <v>3980000</v>
      </c>
      <c r="I19" s="4">
        <v>18144000</v>
      </c>
    </row>
    <row r="20" spans="1:9" x14ac:dyDescent="0.25">
      <c r="A20" t="s">
        <v>39</v>
      </c>
      <c r="B20" t="s">
        <v>40</v>
      </c>
      <c r="C20" s="4">
        <v>620577</v>
      </c>
      <c r="D20" s="4">
        <v>32270000</v>
      </c>
      <c r="E20" s="4">
        <v>34462415</v>
      </c>
      <c r="F20" s="4">
        <v>3480000</v>
      </c>
      <c r="G20" s="4">
        <v>15280000</v>
      </c>
      <c r="H20" s="4">
        <v>7230000</v>
      </c>
      <c r="I20" s="4">
        <v>6280000</v>
      </c>
    </row>
    <row r="21" spans="1:9" x14ac:dyDescent="0.25">
      <c r="A21" t="s">
        <v>92</v>
      </c>
      <c r="B21" t="s">
        <v>93</v>
      </c>
      <c r="C21" s="4">
        <v>550115</v>
      </c>
      <c r="D21" s="4">
        <v>28606000</v>
      </c>
      <c r="E21" s="4">
        <v>30549483</v>
      </c>
      <c r="F21" s="4">
        <v>2080000</v>
      </c>
      <c r="G21" s="4">
        <v>8686000</v>
      </c>
      <c r="H21" s="4">
        <v>8220000</v>
      </c>
      <c r="I21" s="4">
        <v>9620000</v>
      </c>
    </row>
    <row r="22" spans="1:9" x14ac:dyDescent="0.25">
      <c r="B22" t="s">
        <v>49</v>
      </c>
      <c r="C22" s="4">
        <v>35059552</v>
      </c>
      <c r="D22" s="4">
        <v>1823096800</v>
      </c>
      <c r="E22" s="4">
        <v>1946957417</v>
      </c>
      <c r="F22" s="4">
        <v>156538000</v>
      </c>
      <c r="G22" s="4">
        <v>568810800</v>
      </c>
      <c r="H22" s="4">
        <v>414332000</v>
      </c>
      <c r="I22" s="4">
        <v>683416000</v>
      </c>
    </row>
    <row r="25" spans="1:9" x14ac:dyDescent="0.25">
      <c r="D25" t="s">
        <v>100</v>
      </c>
      <c r="E25" cm="1">
        <f t="array" ref="E25">SUM(SUMIF(A2:A21, {"*Arsenal*","*Everton*","*Liverpool*","*Manchester United*","*Tottenham*","*Chelsea*","*Manchester City*","*Crystal Palace*","*West Ham*"}, D2:D21))</f>
        <v>1230442000</v>
      </c>
    </row>
    <row r="26" spans="1:9" x14ac:dyDescent="0.25">
      <c r="D26" t="s">
        <v>101</v>
      </c>
      <c r="E26">
        <f>E25/9</f>
        <v>136715777.77777779</v>
      </c>
    </row>
    <row r="28" spans="1:9" x14ac:dyDescent="0.25">
      <c r="D28" t="s">
        <v>15</v>
      </c>
      <c r="E28">
        <f>VLOOKUP(D28,$A$2:$D$21,4,FALSE)/$E$26</f>
        <v>0.86364574681293382</v>
      </c>
    </row>
    <row r="29" spans="1:9" x14ac:dyDescent="0.25">
      <c r="D29" t="s">
        <v>21</v>
      </c>
      <c r="E29">
        <f t="shared" ref="E29:E36" si="0">VLOOKUP(D29,$A$2:$D$21,4,FALSE)/$E$26</f>
        <v>0.78704888162140096</v>
      </c>
    </row>
    <row r="30" spans="1:9" x14ac:dyDescent="0.25">
      <c r="D30" t="s">
        <v>17</v>
      </c>
      <c r="E30">
        <f t="shared" si="0"/>
        <v>1.1338267061755043</v>
      </c>
    </row>
    <row r="31" spans="1:9" x14ac:dyDescent="0.25">
      <c r="D31" t="s">
        <v>13</v>
      </c>
      <c r="E31">
        <f t="shared" si="0"/>
        <v>1.7085079995643839</v>
      </c>
    </row>
    <row r="32" spans="1:9" x14ac:dyDescent="0.25">
      <c r="D32" t="s">
        <v>19</v>
      </c>
      <c r="E32">
        <f t="shared" si="0"/>
        <v>0.8076317290859707</v>
      </c>
    </row>
    <row r="33" spans="4:5" x14ac:dyDescent="0.25">
      <c r="D33" t="s">
        <v>11</v>
      </c>
      <c r="E33">
        <f t="shared" si="0"/>
        <v>1.3702880753420315</v>
      </c>
    </row>
    <row r="34" spans="4:5" x14ac:dyDescent="0.25">
      <c r="D34" t="s">
        <v>47</v>
      </c>
      <c r="E34">
        <f t="shared" si="0"/>
        <v>0.52598172038990865</v>
      </c>
    </row>
    <row r="35" spans="4:5" x14ac:dyDescent="0.25">
      <c r="D35" t="s">
        <v>23</v>
      </c>
      <c r="E35">
        <f t="shared" si="0"/>
        <v>0.57005856432078872</v>
      </c>
    </row>
    <row r="36" spans="4:5" x14ac:dyDescent="0.25">
      <c r="D36" t="s">
        <v>9</v>
      </c>
      <c r="E36">
        <f t="shared" si="0"/>
        <v>1.2330105766870765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6"/>
  <sheetViews>
    <sheetView topLeftCell="A3" workbookViewId="0">
      <selection activeCell="E29" sqref="E29"/>
    </sheetView>
  </sheetViews>
  <sheetFormatPr defaultRowHeight="15" x14ac:dyDescent="0.25"/>
  <cols>
    <col min="1" max="1" width="24.5703125" bestFit="1" customWidth="1"/>
    <col min="3" max="3" width="17.140625" customWidth="1"/>
    <col min="4" max="4" width="18" customWidth="1"/>
    <col min="5" max="5" width="12.85546875" customWidth="1"/>
    <col min="6" max="6" width="15.140625" customWidth="1"/>
    <col min="7" max="7" width="16.42578125" customWidth="1"/>
    <col min="8" max="8" width="12" customWidth="1"/>
    <col min="9" max="9" width="15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13</v>
      </c>
      <c r="B2" t="s">
        <v>14</v>
      </c>
      <c r="C2" s="4">
        <v>4657500</v>
      </c>
      <c r="D2" s="4">
        <v>242190000</v>
      </c>
      <c r="E2" s="4">
        <v>242190000</v>
      </c>
      <c r="F2" s="4">
        <v>25740000</v>
      </c>
      <c r="G2" s="4">
        <v>72930000</v>
      </c>
      <c r="H2" s="4">
        <v>52520000</v>
      </c>
      <c r="I2" s="4">
        <v>91000000</v>
      </c>
    </row>
    <row r="3" spans="1:9" x14ac:dyDescent="0.25">
      <c r="A3" t="s">
        <v>11</v>
      </c>
      <c r="B3" t="s">
        <v>12</v>
      </c>
      <c r="C3" s="4">
        <v>4357000</v>
      </c>
      <c r="D3" s="4">
        <v>226564000</v>
      </c>
      <c r="E3" s="4">
        <v>226564000</v>
      </c>
      <c r="F3" s="4">
        <v>14560000</v>
      </c>
      <c r="G3" s="4">
        <v>80964000</v>
      </c>
      <c r="H3" s="4">
        <v>54080000</v>
      </c>
      <c r="I3" s="4">
        <v>76960000</v>
      </c>
    </row>
    <row r="4" spans="1:9" x14ac:dyDescent="0.25">
      <c r="A4" t="s">
        <v>9</v>
      </c>
      <c r="B4" t="s">
        <v>10</v>
      </c>
      <c r="C4" s="4">
        <v>3830000</v>
      </c>
      <c r="D4" s="4">
        <v>199160000</v>
      </c>
      <c r="E4" s="4">
        <v>199160000</v>
      </c>
      <c r="F4" s="4">
        <v>9620000</v>
      </c>
      <c r="G4" s="4">
        <v>71500000</v>
      </c>
      <c r="H4" s="4">
        <v>39780000</v>
      </c>
      <c r="I4" s="4">
        <v>78260000</v>
      </c>
    </row>
    <row r="5" spans="1:9" x14ac:dyDescent="0.25">
      <c r="A5" t="s">
        <v>17</v>
      </c>
      <c r="B5" t="s">
        <v>18</v>
      </c>
      <c r="C5" s="4">
        <v>3285000</v>
      </c>
      <c r="D5" s="4">
        <v>170820000</v>
      </c>
      <c r="E5" s="4">
        <v>170820000</v>
      </c>
      <c r="F5" s="4">
        <v>11440000</v>
      </c>
      <c r="G5" s="4">
        <v>49660000</v>
      </c>
      <c r="H5" s="4">
        <v>54340000</v>
      </c>
      <c r="I5" s="4">
        <v>55380000</v>
      </c>
    </row>
    <row r="6" spans="1:9" x14ac:dyDescent="0.25">
      <c r="A6" t="s">
        <v>15</v>
      </c>
      <c r="B6" t="s">
        <v>16</v>
      </c>
      <c r="C6" s="4">
        <v>2558000</v>
      </c>
      <c r="D6" s="4">
        <v>133016000</v>
      </c>
      <c r="E6" s="4">
        <v>133016000</v>
      </c>
      <c r="F6" s="4">
        <v>8060000</v>
      </c>
      <c r="G6" s="4">
        <v>38896000</v>
      </c>
      <c r="H6" s="4">
        <v>37960000</v>
      </c>
      <c r="I6" s="4">
        <v>48100000</v>
      </c>
    </row>
    <row r="7" spans="1:9" x14ac:dyDescent="0.25">
      <c r="A7" t="s">
        <v>19</v>
      </c>
      <c r="B7" t="s">
        <v>20</v>
      </c>
      <c r="C7" s="4">
        <v>2245000</v>
      </c>
      <c r="D7" s="4">
        <v>116740000</v>
      </c>
      <c r="E7" s="4">
        <v>116740000</v>
      </c>
      <c r="F7" s="4">
        <v>9880000</v>
      </c>
      <c r="G7" s="4">
        <v>40300000</v>
      </c>
      <c r="H7" s="4">
        <v>26780000</v>
      </c>
      <c r="I7" s="4">
        <v>39780000</v>
      </c>
    </row>
    <row r="8" spans="1:9" x14ac:dyDescent="0.25">
      <c r="A8" t="s">
        <v>33</v>
      </c>
      <c r="B8" t="s">
        <v>34</v>
      </c>
      <c r="C8" s="4">
        <v>2092885</v>
      </c>
      <c r="D8" s="4">
        <v>108830000</v>
      </c>
      <c r="E8" s="4">
        <v>108830000</v>
      </c>
      <c r="F8" s="4">
        <v>9880000</v>
      </c>
      <c r="G8" s="4">
        <v>35620000</v>
      </c>
      <c r="H8" s="4">
        <v>28600000</v>
      </c>
      <c r="I8" s="4">
        <v>34730000</v>
      </c>
    </row>
    <row r="9" spans="1:9" x14ac:dyDescent="0.25">
      <c r="A9" t="s">
        <v>27</v>
      </c>
      <c r="B9" t="s">
        <v>28</v>
      </c>
      <c r="C9" s="4">
        <v>1775500</v>
      </c>
      <c r="D9" s="4">
        <v>92326000</v>
      </c>
      <c r="E9" s="4">
        <v>92326000</v>
      </c>
      <c r="F9" s="4">
        <v>7800000</v>
      </c>
      <c r="G9" s="4">
        <v>32500000</v>
      </c>
      <c r="H9" s="4">
        <v>19370000</v>
      </c>
      <c r="I9" s="4">
        <v>32656000</v>
      </c>
    </row>
    <row r="10" spans="1:9" x14ac:dyDescent="0.25">
      <c r="A10" t="s">
        <v>23</v>
      </c>
      <c r="B10" t="s">
        <v>24</v>
      </c>
      <c r="C10" s="4">
        <v>1710000</v>
      </c>
      <c r="D10" s="4">
        <v>88920000</v>
      </c>
      <c r="E10" s="4">
        <v>88920000</v>
      </c>
      <c r="F10" s="4">
        <v>11440000</v>
      </c>
      <c r="G10" s="4">
        <v>29640000</v>
      </c>
      <c r="H10" s="4">
        <v>8060000</v>
      </c>
      <c r="I10" s="4">
        <v>39780000</v>
      </c>
    </row>
    <row r="11" spans="1:9" x14ac:dyDescent="0.25">
      <c r="A11" t="s">
        <v>21</v>
      </c>
      <c r="B11" t="s">
        <v>22</v>
      </c>
      <c r="C11" s="4">
        <v>1661000</v>
      </c>
      <c r="D11" s="4">
        <v>86372000</v>
      </c>
      <c r="E11" s="4">
        <v>86372000</v>
      </c>
      <c r="F11" s="4">
        <v>9620000</v>
      </c>
      <c r="G11" s="4">
        <v>34632000</v>
      </c>
      <c r="H11" s="4">
        <v>20540000</v>
      </c>
      <c r="I11" s="4">
        <v>21580000</v>
      </c>
    </row>
    <row r="12" spans="1:9" x14ac:dyDescent="0.25">
      <c r="A12" t="s">
        <v>51</v>
      </c>
      <c r="B12" t="s">
        <v>52</v>
      </c>
      <c r="C12" s="4">
        <v>1630000</v>
      </c>
      <c r="D12" s="4">
        <v>84760000</v>
      </c>
      <c r="E12" s="4">
        <v>84760000</v>
      </c>
      <c r="F12" s="4">
        <v>4680000</v>
      </c>
      <c r="G12" s="4">
        <v>31980000</v>
      </c>
      <c r="H12" s="4">
        <v>20020000</v>
      </c>
      <c r="I12" s="4">
        <v>28080000</v>
      </c>
    </row>
    <row r="13" spans="1:9" x14ac:dyDescent="0.25">
      <c r="A13" t="s">
        <v>94</v>
      </c>
      <c r="B13" t="s">
        <v>95</v>
      </c>
      <c r="C13" s="4">
        <v>1475962</v>
      </c>
      <c r="D13" s="4">
        <v>76750000</v>
      </c>
      <c r="E13" s="4">
        <v>76750000</v>
      </c>
      <c r="F13" s="4">
        <v>10790000</v>
      </c>
      <c r="G13" s="4">
        <v>25480000</v>
      </c>
      <c r="H13" s="4">
        <v>15860000</v>
      </c>
      <c r="I13" s="4">
        <v>24620000</v>
      </c>
    </row>
    <row r="14" spans="1:9" x14ac:dyDescent="0.25">
      <c r="A14" t="s">
        <v>47</v>
      </c>
      <c r="B14" t="s">
        <v>48</v>
      </c>
      <c r="C14" s="4">
        <v>1355000</v>
      </c>
      <c r="D14" s="4">
        <v>70460000</v>
      </c>
      <c r="E14" s="4">
        <v>70460000</v>
      </c>
      <c r="F14" s="4">
        <v>7800000</v>
      </c>
      <c r="G14" s="4">
        <v>21580000</v>
      </c>
      <c r="H14" s="4">
        <v>23140000</v>
      </c>
      <c r="I14" s="4">
        <v>17940000</v>
      </c>
    </row>
    <row r="15" spans="1:9" x14ac:dyDescent="0.25">
      <c r="A15" t="s">
        <v>86</v>
      </c>
      <c r="B15" t="s">
        <v>87</v>
      </c>
      <c r="C15" s="4">
        <v>1303500</v>
      </c>
      <c r="D15" s="4">
        <v>67782000</v>
      </c>
      <c r="E15" s="4">
        <v>67782000</v>
      </c>
      <c r="F15" s="4">
        <v>2600000</v>
      </c>
      <c r="G15" s="4">
        <v>11856000</v>
      </c>
      <c r="H15" s="4">
        <v>19396000</v>
      </c>
      <c r="I15" s="4">
        <v>33930000</v>
      </c>
    </row>
    <row r="16" spans="1:9" x14ac:dyDescent="0.25">
      <c r="A16" t="s">
        <v>35</v>
      </c>
      <c r="B16" t="s">
        <v>36</v>
      </c>
      <c r="C16" s="4">
        <v>1200000</v>
      </c>
      <c r="D16" s="4">
        <v>62400000</v>
      </c>
      <c r="E16" s="4">
        <v>62400000</v>
      </c>
      <c r="F16" s="4">
        <v>5460000</v>
      </c>
      <c r="G16" s="4">
        <v>23920000</v>
      </c>
      <c r="H16" s="4">
        <v>12740000</v>
      </c>
      <c r="I16" s="4">
        <v>20280000</v>
      </c>
    </row>
    <row r="17" spans="1:9" x14ac:dyDescent="0.25">
      <c r="A17" t="s">
        <v>41</v>
      </c>
      <c r="B17" t="s">
        <v>42</v>
      </c>
      <c r="C17" s="4">
        <v>1198000</v>
      </c>
      <c r="D17" s="4">
        <v>62296000</v>
      </c>
      <c r="E17" s="4">
        <v>62296000</v>
      </c>
      <c r="F17" s="4">
        <v>4680000</v>
      </c>
      <c r="G17" s="4">
        <v>13416000</v>
      </c>
      <c r="H17" s="4">
        <v>15860000</v>
      </c>
      <c r="I17" s="4">
        <v>28340000</v>
      </c>
    </row>
    <row r="18" spans="1:9" x14ac:dyDescent="0.25">
      <c r="A18" t="s">
        <v>90</v>
      </c>
      <c r="B18" t="s">
        <v>91</v>
      </c>
      <c r="C18" s="4">
        <v>1174500</v>
      </c>
      <c r="D18" s="4">
        <v>61074000</v>
      </c>
      <c r="E18" s="4">
        <v>61074000</v>
      </c>
      <c r="F18" s="4">
        <v>3120000</v>
      </c>
      <c r="G18" s="4">
        <v>19214000</v>
      </c>
      <c r="H18" s="4">
        <v>11700000</v>
      </c>
      <c r="I18" s="4">
        <v>27040000</v>
      </c>
    </row>
    <row r="19" spans="1:9" x14ac:dyDescent="0.25">
      <c r="A19" t="s">
        <v>57</v>
      </c>
      <c r="B19" t="s">
        <v>58</v>
      </c>
      <c r="C19" s="4">
        <v>977000</v>
      </c>
      <c r="D19" s="4">
        <v>50804000</v>
      </c>
      <c r="E19" s="4">
        <v>50804000</v>
      </c>
      <c r="F19" s="4">
        <v>5044000</v>
      </c>
      <c r="G19" s="4">
        <v>17368000</v>
      </c>
      <c r="H19" s="4">
        <v>9672000</v>
      </c>
      <c r="I19" s="4">
        <v>18720000</v>
      </c>
    </row>
    <row r="20" spans="1:9" x14ac:dyDescent="0.25">
      <c r="A20" t="s">
        <v>82</v>
      </c>
      <c r="B20" t="s">
        <v>83</v>
      </c>
      <c r="C20" s="4">
        <v>863000</v>
      </c>
      <c r="D20" s="4">
        <v>44876000</v>
      </c>
      <c r="E20" s="4">
        <v>44876000</v>
      </c>
      <c r="F20" s="4">
        <v>2860000</v>
      </c>
      <c r="G20" s="4">
        <v>13780000</v>
      </c>
      <c r="H20" s="4">
        <v>13676000</v>
      </c>
      <c r="I20" s="4">
        <v>14560000</v>
      </c>
    </row>
    <row r="21" spans="1:9" x14ac:dyDescent="0.25">
      <c r="A21" t="s">
        <v>92</v>
      </c>
      <c r="B21" t="s">
        <v>93</v>
      </c>
      <c r="C21" s="4">
        <v>738000</v>
      </c>
      <c r="D21" s="4">
        <v>38376000</v>
      </c>
      <c r="E21" s="4">
        <v>38376000</v>
      </c>
      <c r="F21" s="4">
        <v>2600000</v>
      </c>
      <c r="G21" s="4">
        <v>16016000</v>
      </c>
      <c r="H21" s="4">
        <v>9100000</v>
      </c>
      <c r="I21" s="4">
        <v>10660000</v>
      </c>
    </row>
    <row r="22" spans="1:9" x14ac:dyDescent="0.25">
      <c r="B22" t="s">
        <v>49</v>
      </c>
      <c r="C22" s="4">
        <v>40086847</v>
      </c>
      <c r="D22" s="4">
        <v>2084516000</v>
      </c>
      <c r="E22" s="4">
        <v>2084516000</v>
      </c>
      <c r="F22" s="4">
        <v>167674000</v>
      </c>
      <c r="G22" s="4">
        <v>681252000</v>
      </c>
      <c r="H22" s="4">
        <v>493194000</v>
      </c>
      <c r="I22" s="4">
        <v>742396000</v>
      </c>
    </row>
    <row r="25" spans="1:9" x14ac:dyDescent="0.25">
      <c r="D25" t="s">
        <v>100</v>
      </c>
      <c r="E25" cm="1">
        <f t="array" ref="E25">SUM(SUMIF(A2:A21, {"*Arsenal*","*Everton*","*Liverpool*","*Manchester United*","*Tottenham*","*Chelsea*","*Manchester City*","*Crystal Palace*","*West Ham*"}, D2:D21))</f>
        <v>1334242000</v>
      </c>
    </row>
    <row r="26" spans="1:9" x14ac:dyDescent="0.25">
      <c r="D26" t="s">
        <v>101</v>
      </c>
      <c r="E26">
        <f>E25/9</f>
        <v>148249111.1111111</v>
      </c>
    </row>
    <row r="28" spans="1:9" x14ac:dyDescent="0.25">
      <c r="D28" t="s">
        <v>15</v>
      </c>
      <c r="E28">
        <f>VLOOKUP(D28,$A$2:$D$21,4,FALSE)/$E$26</f>
        <v>0.89724652649219561</v>
      </c>
    </row>
    <row r="29" spans="1:9" x14ac:dyDescent="0.25">
      <c r="D29" t="s">
        <v>21</v>
      </c>
      <c r="E29">
        <f t="shared" ref="E29:E36" si="0">VLOOKUP(D29,$A$2:$D$21,4,FALSE)/$E$26</f>
        <v>0.58261394859403315</v>
      </c>
    </row>
    <row r="30" spans="1:9" x14ac:dyDescent="0.25">
      <c r="D30" t="s">
        <v>17</v>
      </c>
      <c r="E30">
        <f t="shared" si="0"/>
        <v>1.1522497418009627</v>
      </c>
    </row>
    <row r="31" spans="1:9" x14ac:dyDescent="0.25">
      <c r="D31" t="s">
        <v>13</v>
      </c>
      <c r="E31">
        <f t="shared" si="0"/>
        <v>1.6336691544712278</v>
      </c>
    </row>
    <row r="32" spans="1:9" x14ac:dyDescent="0.25">
      <c r="D32" t="s">
        <v>19</v>
      </c>
      <c r="E32">
        <f t="shared" si="0"/>
        <v>0.7874583471364266</v>
      </c>
    </row>
    <row r="33" spans="4:5" x14ac:dyDescent="0.25">
      <c r="D33" t="s">
        <v>11</v>
      </c>
      <c r="E33">
        <f t="shared" si="0"/>
        <v>1.5282654870705614</v>
      </c>
    </row>
    <row r="34" spans="4:5" x14ac:dyDescent="0.25">
      <c r="D34" t="s">
        <v>47</v>
      </c>
      <c r="E34">
        <f t="shared" si="0"/>
        <v>0.47528109593312162</v>
      </c>
    </row>
    <row r="35" spans="4:5" x14ac:dyDescent="0.25">
      <c r="D35" t="s">
        <v>23</v>
      </c>
      <c r="E35">
        <f t="shared" si="0"/>
        <v>0.59980123545803543</v>
      </c>
    </row>
    <row r="36" spans="4:5" x14ac:dyDescent="0.25">
      <c r="D36" t="s">
        <v>9</v>
      </c>
      <c r="E36">
        <f t="shared" si="0"/>
        <v>1.3434144630434359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7"/>
  <sheetViews>
    <sheetView topLeftCell="A10" workbookViewId="0">
      <selection activeCell="E30" sqref="E30"/>
    </sheetView>
  </sheetViews>
  <sheetFormatPr defaultRowHeight="15" x14ac:dyDescent="0.25"/>
  <cols>
    <col min="1" max="1" width="24.5703125" bestFit="1" customWidth="1"/>
    <col min="3" max="3" width="17.28515625" customWidth="1"/>
    <col min="4" max="4" width="17.85546875" customWidth="1"/>
    <col min="5" max="5" width="16.42578125" customWidth="1"/>
    <col min="6" max="6" width="14.140625" customWidth="1"/>
    <col min="7" max="7" width="12.7109375" customWidth="1"/>
    <col min="8" max="8" width="14.5703125" customWidth="1"/>
    <col min="9" max="9" width="1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s="4">
        <v>3786000</v>
      </c>
      <c r="D2" s="4">
        <v>196872000</v>
      </c>
      <c r="E2" s="4">
        <v>196872000</v>
      </c>
      <c r="F2" s="4">
        <v>13832000</v>
      </c>
      <c r="G2" s="4">
        <v>63440000</v>
      </c>
      <c r="H2" s="4">
        <v>26000000</v>
      </c>
      <c r="I2" s="4">
        <v>93600000</v>
      </c>
    </row>
    <row r="3" spans="1:9" x14ac:dyDescent="0.25">
      <c r="A3" t="s">
        <v>13</v>
      </c>
      <c r="B3" t="s">
        <v>14</v>
      </c>
      <c r="C3" s="4">
        <v>3764346</v>
      </c>
      <c r="D3" s="4">
        <v>195746000</v>
      </c>
      <c r="E3" s="4">
        <v>195746000</v>
      </c>
      <c r="F3" s="4">
        <v>10400000</v>
      </c>
      <c r="G3" s="4">
        <v>67366000</v>
      </c>
      <c r="H3" s="4">
        <v>38480000</v>
      </c>
      <c r="I3" s="4">
        <v>79500000</v>
      </c>
    </row>
    <row r="4" spans="1:9" x14ac:dyDescent="0.25">
      <c r="A4" t="s">
        <v>15</v>
      </c>
      <c r="B4" t="s">
        <v>16</v>
      </c>
      <c r="C4" s="4">
        <v>3298000</v>
      </c>
      <c r="D4" s="4">
        <v>171496000</v>
      </c>
      <c r="E4" s="4">
        <v>171496000</v>
      </c>
      <c r="F4" s="4">
        <v>11180000</v>
      </c>
      <c r="G4" s="4">
        <v>47476000</v>
      </c>
      <c r="H4" s="4">
        <v>31460000</v>
      </c>
      <c r="I4" s="4">
        <v>81380000</v>
      </c>
    </row>
    <row r="5" spans="1:9" x14ac:dyDescent="0.25">
      <c r="A5" t="s">
        <v>11</v>
      </c>
      <c r="B5" t="s">
        <v>12</v>
      </c>
      <c r="C5" s="4">
        <v>3022500</v>
      </c>
      <c r="D5" s="4">
        <v>157170000</v>
      </c>
      <c r="E5" s="4">
        <v>157170000</v>
      </c>
      <c r="F5" s="4">
        <v>6240000</v>
      </c>
      <c r="G5" s="4">
        <v>73840000</v>
      </c>
      <c r="H5" s="4">
        <v>30030000</v>
      </c>
      <c r="I5" s="4">
        <v>47060000</v>
      </c>
    </row>
    <row r="6" spans="1:9" x14ac:dyDescent="0.25">
      <c r="A6" t="s">
        <v>17</v>
      </c>
      <c r="B6" t="s">
        <v>18</v>
      </c>
      <c r="C6" s="4">
        <v>2730000</v>
      </c>
      <c r="D6" s="4">
        <v>141960000</v>
      </c>
      <c r="E6" s="4">
        <v>141960000</v>
      </c>
      <c r="F6" s="4">
        <v>11440000</v>
      </c>
      <c r="G6" s="4">
        <v>48100000</v>
      </c>
      <c r="H6" s="4">
        <v>37700000</v>
      </c>
      <c r="I6" s="4">
        <v>44720000</v>
      </c>
    </row>
    <row r="7" spans="1:9" x14ac:dyDescent="0.25">
      <c r="A7" t="s">
        <v>19</v>
      </c>
      <c r="B7" t="s">
        <v>20</v>
      </c>
      <c r="C7" s="4">
        <v>2567500</v>
      </c>
      <c r="D7" s="4">
        <v>133510000</v>
      </c>
      <c r="E7" s="4">
        <v>133510000</v>
      </c>
      <c r="F7" s="4">
        <v>14170000</v>
      </c>
      <c r="G7" s="4">
        <v>37440000</v>
      </c>
      <c r="H7" s="4">
        <v>29900000</v>
      </c>
      <c r="I7" s="4">
        <v>52000000</v>
      </c>
    </row>
    <row r="8" spans="1:9" x14ac:dyDescent="0.25">
      <c r="A8" t="s">
        <v>33</v>
      </c>
      <c r="B8" t="s">
        <v>34</v>
      </c>
      <c r="C8" s="4">
        <v>2182885</v>
      </c>
      <c r="D8" s="4">
        <v>113510000</v>
      </c>
      <c r="E8" s="4">
        <v>113510000</v>
      </c>
      <c r="F8" s="4">
        <v>9360000</v>
      </c>
      <c r="G8" s="4">
        <v>42640000</v>
      </c>
      <c r="H8" s="4">
        <v>28080000</v>
      </c>
      <c r="I8" s="4">
        <v>33430000</v>
      </c>
    </row>
    <row r="9" spans="1:9" x14ac:dyDescent="0.25">
      <c r="A9" t="s">
        <v>23</v>
      </c>
      <c r="B9" t="s">
        <v>24</v>
      </c>
      <c r="C9" s="4">
        <v>2013000</v>
      </c>
      <c r="D9" s="4">
        <v>104676000</v>
      </c>
      <c r="E9" s="4">
        <v>104676000</v>
      </c>
      <c r="F9" s="4">
        <v>9828000</v>
      </c>
      <c r="G9" s="4">
        <v>29900000</v>
      </c>
      <c r="H9" s="4">
        <v>23920000</v>
      </c>
      <c r="I9" s="4">
        <v>41028000</v>
      </c>
    </row>
    <row r="10" spans="1:9" x14ac:dyDescent="0.25">
      <c r="A10" t="s">
        <v>27</v>
      </c>
      <c r="B10" t="s">
        <v>28</v>
      </c>
      <c r="C10" s="4">
        <v>1695000</v>
      </c>
      <c r="D10" s="4">
        <v>88140000</v>
      </c>
      <c r="E10" s="4">
        <v>88140000</v>
      </c>
      <c r="F10" s="4">
        <v>6240000</v>
      </c>
      <c r="G10" s="4">
        <v>32864000</v>
      </c>
      <c r="H10" s="4">
        <v>26624000</v>
      </c>
      <c r="I10" s="4">
        <v>22412000</v>
      </c>
    </row>
    <row r="11" spans="1:9" x14ac:dyDescent="0.25">
      <c r="A11" t="s">
        <v>21</v>
      </c>
      <c r="B11" t="s">
        <v>22</v>
      </c>
      <c r="C11" s="4">
        <v>1563808</v>
      </c>
      <c r="D11" s="4">
        <v>81318000</v>
      </c>
      <c r="E11" s="4">
        <v>81318000</v>
      </c>
      <c r="F11" s="4">
        <v>7280000</v>
      </c>
      <c r="G11" s="4">
        <v>24492000</v>
      </c>
      <c r="H11" s="4">
        <v>25860000</v>
      </c>
      <c r="I11" s="4">
        <v>23686000</v>
      </c>
    </row>
    <row r="12" spans="1:9" x14ac:dyDescent="0.25">
      <c r="A12" t="s">
        <v>94</v>
      </c>
      <c r="B12" t="s">
        <v>95</v>
      </c>
      <c r="C12" s="4">
        <v>1418077</v>
      </c>
      <c r="D12" s="4">
        <v>73740000</v>
      </c>
      <c r="E12" s="4">
        <v>73740000</v>
      </c>
      <c r="F12" s="4">
        <v>7910000</v>
      </c>
      <c r="G12" s="4">
        <v>26000000</v>
      </c>
      <c r="H12" s="4">
        <v>14040000</v>
      </c>
      <c r="I12" s="4">
        <v>25790000</v>
      </c>
    </row>
    <row r="13" spans="1:9" x14ac:dyDescent="0.25">
      <c r="A13" t="s">
        <v>47</v>
      </c>
      <c r="B13" t="s">
        <v>48</v>
      </c>
      <c r="C13" s="4">
        <v>1415000</v>
      </c>
      <c r="D13" s="4">
        <v>73580000</v>
      </c>
      <c r="E13" s="4">
        <v>73580000</v>
      </c>
      <c r="F13" s="4">
        <v>8190000</v>
      </c>
      <c r="G13" s="4">
        <v>24700000</v>
      </c>
      <c r="H13" s="4">
        <v>18720000</v>
      </c>
      <c r="I13" s="4">
        <v>21970000</v>
      </c>
    </row>
    <row r="14" spans="1:9" x14ac:dyDescent="0.25">
      <c r="A14" t="s">
        <v>35</v>
      </c>
      <c r="B14" t="s">
        <v>36</v>
      </c>
      <c r="C14" s="4">
        <v>1307500</v>
      </c>
      <c r="D14" s="4">
        <v>67990000</v>
      </c>
      <c r="E14" s="4">
        <v>67990000</v>
      </c>
      <c r="F14" s="4">
        <v>8060000</v>
      </c>
      <c r="G14" s="4">
        <v>19890000</v>
      </c>
      <c r="H14" s="4">
        <v>11960000</v>
      </c>
      <c r="I14" s="4">
        <v>28080000</v>
      </c>
    </row>
    <row r="15" spans="1:9" x14ac:dyDescent="0.25">
      <c r="A15" t="s">
        <v>82</v>
      </c>
      <c r="B15" t="s">
        <v>83</v>
      </c>
      <c r="C15" s="4">
        <v>1285000</v>
      </c>
      <c r="D15" s="4">
        <v>66820000</v>
      </c>
      <c r="E15" s="4">
        <v>66820000</v>
      </c>
      <c r="F15" s="4">
        <v>3380000</v>
      </c>
      <c r="G15" s="4">
        <v>20280000</v>
      </c>
      <c r="H15" s="4">
        <v>12870000</v>
      </c>
      <c r="I15" s="4">
        <v>30290000</v>
      </c>
    </row>
    <row r="16" spans="1:9" x14ac:dyDescent="0.25">
      <c r="A16" t="s">
        <v>86</v>
      </c>
      <c r="B16" t="s">
        <v>87</v>
      </c>
      <c r="C16" s="4">
        <v>1200000</v>
      </c>
      <c r="D16" s="4">
        <v>62400000</v>
      </c>
      <c r="E16" s="4">
        <v>62400000</v>
      </c>
      <c r="F16" s="4">
        <v>4160000</v>
      </c>
      <c r="G16" s="4">
        <v>21580000</v>
      </c>
      <c r="H16" s="4">
        <v>12220000</v>
      </c>
      <c r="I16" s="4">
        <v>24440000</v>
      </c>
    </row>
    <row r="17" spans="1:9" x14ac:dyDescent="0.25">
      <c r="A17" t="s">
        <v>57</v>
      </c>
      <c r="B17" t="s">
        <v>58</v>
      </c>
      <c r="C17" s="4">
        <v>1102500</v>
      </c>
      <c r="D17" s="4">
        <v>57330000</v>
      </c>
      <c r="E17" s="4">
        <v>57330000</v>
      </c>
      <c r="F17" s="4">
        <v>6500000</v>
      </c>
      <c r="G17" s="4">
        <v>14456000</v>
      </c>
      <c r="H17" s="4">
        <v>11934000</v>
      </c>
      <c r="I17" s="4">
        <v>24440000</v>
      </c>
    </row>
    <row r="18" spans="1:9" x14ac:dyDescent="0.25">
      <c r="A18" t="s">
        <v>92</v>
      </c>
      <c r="B18" t="s">
        <v>93</v>
      </c>
      <c r="C18" s="4">
        <v>898500</v>
      </c>
      <c r="D18" s="4">
        <v>46722000</v>
      </c>
      <c r="E18" s="4">
        <v>46722000</v>
      </c>
      <c r="F18" s="4">
        <v>3900000</v>
      </c>
      <c r="G18" s="4">
        <v>19032000</v>
      </c>
      <c r="H18" s="4">
        <v>11310000</v>
      </c>
      <c r="I18" s="4">
        <v>12480000</v>
      </c>
    </row>
    <row r="19" spans="1:9" x14ac:dyDescent="0.25">
      <c r="A19" t="s">
        <v>53</v>
      </c>
      <c r="B19" t="s">
        <v>54</v>
      </c>
      <c r="C19" s="4">
        <v>785500</v>
      </c>
      <c r="D19" s="4">
        <v>40846000</v>
      </c>
      <c r="E19" s="4">
        <v>40846000</v>
      </c>
      <c r="F19" s="4">
        <v>3120000</v>
      </c>
      <c r="G19" s="4">
        <v>9308000</v>
      </c>
      <c r="H19" s="4">
        <v>9620000</v>
      </c>
      <c r="I19" s="4">
        <v>18798000</v>
      </c>
    </row>
    <row r="20" spans="1:9" x14ac:dyDescent="0.25">
      <c r="A20" t="s">
        <v>88</v>
      </c>
      <c r="B20" t="s">
        <v>89</v>
      </c>
      <c r="C20" s="4">
        <v>680000</v>
      </c>
      <c r="D20" s="4">
        <v>35360000</v>
      </c>
      <c r="E20" s="4">
        <v>35360000</v>
      </c>
      <c r="F20" s="4">
        <v>3302000</v>
      </c>
      <c r="G20" s="4">
        <v>13338000</v>
      </c>
      <c r="H20" s="4">
        <v>10790000</v>
      </c>
      <c r="I20" s="4">
        <v>7930000</v>
      </c>
    </row>
    <row r="21" spans="1:9" x14ac:dyDescent="0.25">
      <c r="A21" t="s">
        <v>96</v>
      </c>
      <c r="B21" t="s">
        <v>97</v>
      </c>
      <c r="C21" s="4">
        <v>503500</v>
      </c>
      <c r="D21" s="4">
        <v>26182000</v>
      </c>
      <c r="E21" s="4">
        <v>26182000</v>
      </c>
      <c r="F21" s="4">
        <v>2990000</v>
      </c>
      <c r="G21" s="4">
        <v>8190000</v>
      </c>
      <c r="H21" s="4">
        <v>7540000</v>
      </c>
      <c r="I21" s="4">
        <v>7462000</v>
      </c>
    </row>
    <row r="22" spans="1:9" x14ac:dyDescent="0.25">
      <c r="B22" t="s">
        <v>49</v>
      </c>
      <c r="C22" s="4">
        <v>37218616</v>
      </c>
      <c r="D22" s="4">
        <v>1935368000</v>
      </c>
      <c r="E22" s="4">
        <v>1935368000</v>
      </c>
      <c r="F22" s="4">
        <v>151482000</v>
      </c>
      <c r="G22" s="4">
        <v>644332000</v>
      </c>
      <c r="H22" s="4">
        <v>419058000</v>
      </c>
      <c r="I22" s="4">
        <v>720496000</v>
      </c>
    </row>
    <row r="26" spans="1:9" x14ac:dyDescent="0.25">
      <c r="D26" t="s">
        <v>100</v>
      </c>
      <c r="E26" cm="1">
        <f t="array" ref="E26">SUM(SUMIF(A2:A21, {"*Arsenal*","*Everton*","*Liverpool*","*Manchester United*","*Tottenham*","*Chelsea*","*Manchester City*","*Crystal Palace*","*West Ham*"}, D2:D21))</f>
        <v>1256328000</v>
      </c>
    </row>
    <row r="27" spans="1:9" x14ac:dyDescent="0.25">
      <c r="D27" t="s">
        <v>101</v>
      </c>
      <c r="E27">
        <f>E26/9</f>
        <v>139592000</v>
      </c>
    </row>
    <row r="29" spans="1:9" x14ac:dyDescent="0.25">
      <c r="D29" t="s">
        <v>15</v>
      </c>
      <c r="E29">
        <f>VLOOKUP(D29,$A$2:$D$21,4,FALSE)/$E$27</f>
        <v>1.228551779471603</v>
      </c>
    </row>
    <row r="30" spans="1:9" x14ac:dyDescent="0.25">
      <c r="D30" t="s">
        <v>21</v>
      </c>
      <c r="E30">
        <f t="shared" ref="E30:E37" si="0">VLOOKUP(D30,$A$2:$D$21,4,FALSE)/$E$27</f>
        <v>0.5825405467362027</v>
      </c>
    </row>
    <row r="31" spans="1:9" x14ac:dyDescent="0.25">
      <c r="D31" t="s">
        <v>17</v>
      </c>
      <c r="E31">
        <f t="shared" si="0"/>
        <v>1.016963722849447</v>
      </c>
    </row>
    <row r="32" spans="1:9" x14ac:dyDescent="0.25">
      <c r="D32" t="s">
        <v>13</v>
      </c>
      <c r="E32">
        <f t="shared" si="0"/>
        <v>1.402272336523583</v>
      </c>
    </row>
    <row r="33" spans="4:5" x14ac:dyDescent="0.25">
      <c r="D33" t="s">
        <v>19</v>
      </c>
      <c r="E33">
        <f t="shared" si="0"/>
        <v>0.95643016791793223</v>
      </c>
    </row>
    <row r="34" spans="4:5" x14ac:dyDescent="0.25">
      <c r="D34" t="s">
        <v>11</v>
      </c>
      <c r="E34">
        <f t="shared" si="0"/>
        <v>1.1259241217261735</v>
      </c>
    </row>
    <row r="35" spans="4:5" x14ac:dyDescent="0.25">
      <c r="D35" t="s">
        <v>47</v>
      </c>
      <c r="E35">
        <f t="shared" si="0"/>
        <v>0.52710757063442026</v>
      </c>
    </row>
    <row r="36" spans="4:5" x14ac:dyDescent="0.25">
      <c r="D36" t="s">
        <v>23</v>
      </c>
      <c r="E36">
        <f t="shared" si="0"/>
        <v>0.74987105278239441</v>
      </c>
    </row>
    <row r="37" spans="4:5" x14ac:dyDescent="0.25">
      <c r="D37" t="s">
        <v>9</v>
      </c>
      <c r="E37">
        <f t="shared" si="0"/>
        <v>1.410338701358244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6"/>
  <sheetViews>
    <sheetView topLeftCell="A4" workbookViewId="0">
      <selection activeCell="E28" sqref="E28:E36"/>
    </sheetView>
  </sheetViews>
  <sheetFormatPr defaultRowHeight="15" x14ac:dyDescent="0.25"/>
  <cols>
    <col min="1" max="1" width="24.5703125" bestFit="1" customWidth="1"/>
    <col min="3" max="3" width="12.42578125" customWidth="1"/>
    <col min="4" max="4" width="15.85546875" customWidth="1"/>
    <col min="5" max="5" width="14.28515625" customWidth="1"/>
    <col min="6" max="6" width="13" customWidth="1"/>
    <col min="7" max="7" width="16.7109375" customWidth="1"/>
    <col min="8" max="8" width="15.140625" customWidth="1"/>
    <col min="9" max="9" width="12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s="4">
        <v>4351800</v>
      </c>
      <c r="D2" s="4">
        <v>226293600</v>
      </c>
      <c r="E2" s="4">
        <v>226293600</v>
      </c>
      <c r="F2" s="4">
        <v>11440000</v>
      </c>
      <c r="G2" s="4">
        <v>58292000</v>
      </c>
      <c r="H2" s="4">
        <v>41288000</v>
      </c>
      <c r="I2" s="4">
        <v>115273600</v>
      </c>
    </row>
    <row r="3" spans="1:9" x14ac:dyDescent="0.25">
      <c r="A3" t="s">
        <v>11</v>
      </c>
      <c r="B3" t="s">
        <v>12</v>
      </c>
      <c r="C3" s="4">
        <v>3295300</v>
      </c>
      <c r="D3" s="4">
        <v>171355600</v>
      </c>
      <c r="E3" s="4">
        <v>171355600</v>
      </c>
      <c r="F3" s="4">
        <v>15407600</v>
      </c>
      <c r="G3" s="4">
        <v>64324000</v>
      </c>
      <c r="H3" s="4">
        <v>27560000</v>
      </c>
      <c r="I3" s="4">
        <v>64064000</v>
      </c>
    </row>
    <row r="4" spans="1:9" x14ac:dyDescent="0.25">
      <c r="A4" t="s">
        <v>13</v>
      </c>
      <c r="B4" t="s">
        <v>14</v>
      </c>
      <c r="C4" s="4">
        <v>3292750</v>
      </c>
      <c r="D4" s="4">
        <v>171223000</v>
      </c>
      <c r="E4" s="4">
        <v>171223000</v>
      </c>
      <c r="F4" s="4">
        <v>10400000</v>
      </c>
      <c r="G4" s="4">
        <v>65949000</v>
      </c>
      <c r="H4" s="4">
        <v>33748000</v>
      </c>
      <c r="I4" s="4">
        <v>61126000</v>
      </c>
    </row>
    <row r="5" spans="1:9" x14ac:dyDescent="0.25">
      <c r="A5" t="s">
        <v>15</v>
      </c>
      <c r="B5" t="s">
        <v>16</v>
      </c>
      <c r="C5" s="4">
        <v>3268000</v>
      </c>
      <c r="D5" s="4">
        <v>169936000</v>
      </c>
      <c r="E5" s="4">
        <v>169936000</v>
      </c>
      <c r="F5" s="4">
        <v>7800000</v>
      </c>
      <c r="G5" s="4">
        <v>55744000</v>
      </c>
      <c r="H5" s="4">
        <v>35360000</v>
      </c>
      <c r="I5" s="4">
        <v>71032000</v>
      </c>
    </row>
    <row r="6" spans="1:9" x14ac:dyDescent="0.25">
      <c r="A6" t="s">
        <v>17</v>
      </c>
      <c r="B6" t="s">
        <v>18</v>
      </c>
      <c r="C6" s="4">
        <v>2855650</v>
      </c>
      <c r="D6" s="4">
        <v>148493800</v>
      </c>
      <c r="E6" s="4">
        <v>148493800</v>
      </c>
      <c r="F6" s="4">
        <v>11960000</v>
      </c>
      <c r="G6" s="4">
        <v>54990000</v>
      </c>
      <c r="H6" s="4">
        <v>28633800</v>
      </c>
      <c r="I6" s="4">
        <v>52910000</v>
      </c>
    </row>
    <row r="7" spans="1:9" x14ac:dyDescent="0.25">
      <c r="A7" t="s">
        <v>33</v>
      </c>
      <c r="B7" t="s">
        <v>34</v>
      </c>
      <c r="C7" s="4">
        <v>2699650</v>
      </c>
      <c r="D7" s="4">
        <v>140381800</v>
      </c>
      <c r="E7" s="4">
        <v>140381800</v>
      </c>
      <c r="F7" s="4">
        <v>10909600</v>
      </c>
      <c r="G7" s="4">
        <v>39702000</v>
      </c>
      <c r="H7" s="4">
        <v>37336000</v>
      </c>
      <c r="I7" s="4">
        <v>52434200</v>
      </c>
    </row>
    <row r="8" spans="1:9" x14ac:dyDescent="0.25">
      <c r="A8" t="s">
        <v>19</v>
      </c>
      <c r="B8" t="s">
        <v>20</v>
      </c>
      <c r="C8" s="4">
        <v>2329250</v>
      </c>
      <c r="D8" s="4">
        <v>121121000</v>
      </c>
      <c r="E8" s="4">
        <v>121121000</v>
      </c>
      <c r="F8" s="4">
        <v>10270000</v>
      </c>
      <c r="G8" s="4">
        <v>39936000</v>
      </c>
      <c r="H8" s="4">
        <v>13299000</v>
      </c>
      <c r="I8" s="4">
        <v>57616000</v>
      </c>
    </row>
    <row r="9" spans="1:9" x14ac:dyDescent="0.25">
      <c r="A9" t="s">
        <v>27</v>
      </c>
      <c r="B9" t="s">
        <v>28</v>
      </c>
      <c r="C9" s="4">
        <v>2123300</v>
      </c>
      <c r="D9" s="4">
        <v>110411600</v>
      </c>
      <c r="E9" s="4">
        <v>110411600</v>
      </c>
      <c r="F9" s="4">
        <v>8788000</v>
      </c>
      <c r="G9" s="4">
        <v>43201600</v>
      </c>
      <c r="H9" s="4">
        <v>31486000</v>
      </c>
      <c r="I9" s="4">
        <v>26936000</v>
      </c>
    </row>
    <row r="10" spans="1:9" x14ac:dyDescent="0.25">
      <c r="A10" t="s">
        <v>23</v>
      </c>
      <c r="B10" t="s">
        <v>24</v>
      </c>
      <c r="C10" s="4">
        <v>1984000</v>
      </c>
      <c r="D10" s="4">
        <v>103168000</v>
      </c>
      <c r="E10" s="4">
        <v>103168000</v>
      </c>
      <c r="F10" s="4">
        <v>10400000</v>
      </c>
      <c r="G10" s="4">
        <v>24050000</v>
      </c>
      <c r="H10" s="4">
        <v>24908000</v>
      </c>
      <c r="I10" s="4">
        <v>43810000</v>
      </c>
    </row>
    <row r="11" spans="1:9" x14ac:dyDescent="0.25">
      <c r="A11" t="s">
        <v>86</v>
      </c>
      <c r="B11" t="s">
        <v>87</v>
      </c>
      <c r="C11" s="4">
        <v>1585000</v>
      </c>
      <c r="D11" s="4">
        <v>82420000</v>
      </c>
      <c r="E11" s="4">
        <v>82420000</v>
      </c>
      <c r="F11" s="4">
        <v>7280000</v>
      </c>
      <c r="G11" s="4">
        <v>27352000</v>
      </c>
      <c r="H11" s="4">
        <v>23972000</v>
      </c>
      <c r="I11" s="4">
        <v>23816000</v>
      </c>
    </row>
    <row r="12" spans="1:9" x14ac:dyDescent="0.25">
      <c r="A12" t="s">
        <v>47</v>
      </c>
      <c r="B12" t="s">
        <v>48</v>
      </c>
      <c r="C12" s="4">
        <v>1472000</v>
      </c>
      <c r="D12" s="4">
        <v>76544000</v>
      </c>
      <c r="E12" s="4">
        <v>76544000</v>
      </c>
      <c r="F12" s="4">
        <v>8320000</v>
      </c>
      <c r="G12" s="4">
        <v>28470000</v>
      </c>
      <c r="H12" s="4">
        <v>14352000</v>
      </c>
      <c r="I12" s="4">
        <v>25402000</v>
      </c>
    </row>
    <row r="13" spans="1:9" x14ac:dyDescent="0.25">
      <c r="A13" t="s">
        <v>21</v>
      </c>
      <c r="B13" t="s">
        <v>22</v>
      </c>
      <c r="C13" s="4">
        <v>1419000</v>
      </c>
      <c r="D13" s="4">
        <v>73788000</v>
      </c>
      <c r="E13" s="4">
        <v>73788000</v>
      </c>
      <c r="F13" s="4">
        <v>8658000</v>
      </c>
      <c r="G13" s="4">
        <v>23452000</v>
      </c>
      <c r="H13" s="4">
        <v>19240000</v>
      </c>
      <c r="I13" s="4">
        <v>22438000</v>
      </c>
    </row>
    <row r="14" spans="1:9" x14ac:dyDescent="0.25">
      <c r="A14" t="s">
        <v>35</v>
      </c>
      <c r="B14" t="s">
        <v>36</v>
      </c>
      <c r="C14" s="4">
        <v>1375500</v>
      </c>
      <c r="D14" s="4">
        <v>71526000</v>
      </c>
      <c r="E14" s="4">
        <v>71526000</v>
      </c>
      <c r="F14" s="4">
        <v>7280000</v>
      </c>
      <c r="G14" s="4">
        <v>22880000</v>
      </c>
      <c r="H14" s="4">
        <v>10400000</v>
      </c>
      <c r="I14" s="4">
        <v>30966000</v>
      </c>
    </row>
    <row r="15" spans="1:9" x14ac:dyDescent="0.25">
      <c r="A15" t="s">
        <v>82</v>
      </c>
      <c r="B15" t="s">
        <v>83</v>
      </c>
      <c r="C15" s="4">
        <v>1299250</v>
      </c>
      <c r="D15" s="4">
        <v>67561000</v>
      </c>
      <c r="E15" s="4">
        <v>67561000</v>
      </c>
      <c r="F15" s="4">
        <v>4056000</v>
      </c>
      <c r="G15" s="4">
        <v>25350000</v>
      </c>
      <c r="H15" s="4">
        <v>12402000</v>
      </c>
      <c r="I15" s="4">
        <v>25753000</v>
      </c>
    </row>
    <row r="16" spans="1:9" x14ac:dyDescent="0.25">
      <c r="A16" t="s">
        <v>51</v>
      </c>
      <c r="B16" t="s">
        <v>52</v>
      </c>
      <c r="C16" s="4">
        <v>1282500</v>
      </c>
      <c r="D16" s="4">
        <v>66690000</v>
      </c>
      <c r="E16" s="4">
        <v>66690000</v>
      </c>
      <c r="F16" s="4">
        <v>4160000</v>
      </c>
      <c r="G16" s="4">
        <v>21710000</v>
      </c>
      <c r="H16" s="4">
        <v>16536000</v>
      </c>
      <c r="I16" s="4">
        <v>24284000</v>
      </c>
    </row>
    <row r="17" spans="1:9" x14ac:dyDescent="0.25">
      <c r="A17" t="s">
        <v>94</v>
      </c>
      <c r="B17" t="s">
        <v>95</v>
      </c>
      <c r="C17" s="4">
        <v>1268500</v>
      </c>
      <c r="D17" s="4">
        <v>65962000</v>
      </c>
      <c r="E17" s="4">
        <v>65962000</v>
      </c>
      <c r="F17" s="4">
        <v>3120000</v>
      </c>
      <c r="G17" s="4">
        <v>22984000</v>
      </c>
      <c r="H17" s="4">
        <v>19136000</v>
      </c>
      <c r="I17" s="4">
        <v>20722000</v>
      </c>
    </row>
    <row r="18" spans="1:9" x14ac:dyDescent="0.25">
      <c r="A18" t="s">
        <v>41</v>
      </c>
      <c r="B18" t="s">
        <v>42</v>
      </c>
      <c r="C18" s="4">
        <v>1041000</v>
      </c>
      <c r="D18" s="4">
        <v>54132000</v>
      </c>
      <c r="E18" s="4">
        <v>54132000</v>
      </c>
      <c r="F18" s="4">
        <v>9100000</v>
      </c>
      <c r="G18" s="4">
        <v>16666000</v>
      </c>
      <c r="H18" s="4">
        <v>11180000</v>
      </c>
      <c r="I18" s="4">
        <v>17186000</v>
      </c>
    </row>
    <row r="19" spans="1:9" x14ac:dyDescent="0.25">
      <c r="A19" t="s">
        <v>57</v>
      </c>
      <c r="B19" t="s">
        <v>58</v>
      </c>
      <c r="C19" s="4">
        <v>1036500</v>
      </c>
      <c r="D19" s="4">
        <v>53898000</v>
      </c>
      <c r="E19" s="4">
        <v>53898000</v>
      </c>
      <c r="F19" s="4">
        <v>4316000</v>
      </c>
      <c r="G19" s="4">
        <v>14352000</v>
      </c>
      <c r="H19" s="4">
        <v>14040000</v>
      </c>
      <c r="I19" s="4">
        <v>21190000</v>
      </c>
    </row>
    <row r="20" spans="1:9" x14ac:dyDescent="0.25">
      <c r="A20" t="s">
        <v>92</v>
      </c>
      <c r="B20" t="s">
        <v>93</v>
      </c>
      <c r="C20" s="4">
        <v>862750</v>
      </c>
      <c r="D20" s="4">
        <v>44863000</v>
      </c>
      <c r="E20" s="4">
        <v>44863000</v>
      </c>
      <c r="F20" s="4">
        <v>2600000</v>
      </c>
      <c r="G20" s="4">
        <v>17537000</v>
      </c>
      <c r="H20" s="4">
        <v>8866000</v>
      </c>
      <c r="I20" s="4">
        <v>15860000</v>
      </c>
    </row>
    <row r="21" spans="1:9" x14ac:dyDescent="0.25">
      <c r="A21" t="s">
        <v>98</v>
      </c>
      <c r="B21" t="s">
        <v>99</v>
      </c>
      <c r="C21" s="4">
        <v>784000</v>
      </c>
      <c r="D21" s="4">
        <v>40768000</v>
      </c>
      <c r="E21" s="4">
        <v>40768000</v>
      </c>
      <c r="F21" s="4">
        <v>3640000</v>
      </c>
      <c r="G21" s="4">
        <v>14066000</v>
      </c>
      <c r="H21" s="4">
        <v>12376000</v>
      </c>
      <c r="I21" s="4">
        <v>10686000</v>
      </c>
    </row>
    <row r="22" spans="1:9" x14ac:dyDescent="0.25">
      <c r="B22" t="s">
        <v>49</v>
      </c>
      <c r="C22" s="4">
        <v>39625700</v>
      </c>
      <c r="D22" s="4">
        <v>2060536400</v>
      </c>
      <c r="E22" s="4">
        <v>2060536400</v>
      </c>
      <c r="F22" s="4">
        <v>159905200</v>
      </c>
      <c r="G22" s="4">
        <v>681007600</v>
      </c>
      <c r="H22" s="4">
        <v>436118800</v>
      </c>
      <c r="I22" s="4">
        <v>783504800</v>
      </c>
    </row>
    <row r="25" spans="1:9" x14ac:dyDescent="0.25">
      <c r="D25" t="s">
        <v>100</v>
      </c>
      <c r="E25" cm="1">
        <f t="array" ref="E25">SUM(SUMIF(A2:A21, {"*Arsenal*","*Everton*","*Liverpool*","*Manchester United*","*Tottenham*","*Chelsea*","*Manchester City*","*Crystal Palace*","*West Ham*"}, D2:D21))</f>
        <v>1261923000</v>
      </c>
    </row>
    <row r="26" spans="1:9" x14ac:dyDescent="0.25">
      <c r="D26" t="s">
        <v>101</v>
      </c>
      <c r="E26">
        <f>E25/9</f>
        <v>140213666.66666666</v>
      </c>
    </row>
    <row r="28" spans="1:9" x14ac:dyDescent="0.25">
      <c r="D28" t="s">
        <v>15</v>
      </c>
      <c r="E28">
        <f>VLOOKUP(D28,$A$2:$D$21,4,FALSE)/$E$26</f>
        <v>1.2119788608338227</v>
      </c>
    </row>
    <row r="29" spans="1:9" x14ac:dyDescent="0.25">
      <c r="D29" t="s">
        <v>21</v>
      </c>
      <c r="E29">
        <f t="shared" ref="E29:E36" si="0">VLOOKUP(D29,$A$2:$D$21,4,FALSE)/$E$26</f>
        <v>0.52625397904626514</v>
      </c>
    </row>
    <row r="30" spans="1:9" x14ac:dyDescent="0.25">
      <c r="D30" t="s">
        <v>17</v>
      </c>
      <c r="E30">
        <f t="shared" si="0"/>
        <v>1.0590536823562136</v>
      </c>
    </row>
    <row r="31" spans="1:9" x14ac:dyDescent="0.25">
      <c r="D31" t="s">
        <v>13</v>
      </c>
      <c r="E31">
        <f t="shared" si="0"/>
        <v>1.2211577093055599</v>
      </c>
    </row>
    <row r="32" spans="1:9" x14ac:dyDescent="0.25">
      <c r="D32" t="s">
        <v>19</v>
      </c>
      <c r="E32">
        <f t="shared" si="0"/>
        <v>0.86383162839571037</v>
      </c>
    </row>
    <row r="33" spans="4:5" x14ac:dyDescent="0.25">
      <c r="D33" t="s">
        <v>11</v>
      </c>
      <c r="E33">
        <f t="shared" si="0"/>
        <v>1.2221034088450722</v>
      </c>
    </row>
    <row r="34" spans="4:5" x14ac:dyDescent="0.25">
      <c r="D34" t="s">
        <v>47</v>
      </c>
      <c r="E34">
        <f t="shared" si="0"/>
        <v>0.54590969496554076</v>
      </c>
    </row>
    <row r="35" spans="4:5" x14ac:dyDescent="0.25">
      <c r="D35" t="s">
        <v>23</v>
      </c>
      <c r="E35">
        <f t="shared" si="0"/>
        <v>0.73579132799703317</v>
      </c>
    </row>
    <row r="36" spans="4:5" x14ac:dyDescent="0.25">
      <c r="D36" t="s">
        <v>9</v>
      </c>
      <c r="E36">
        <f t="shared" si="0"/>
        <v>1.6139197082547827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  <vt:lpstr>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Olumhense Amanluoghe</cp:lastModifiedBy>
  <dcterms:created xsi:type="dcterms:W3CDTF">2026-01-05T02:04:02Z</dcterms:created>
  <dcterms:modified xsi:type="dcterms:W3CDTF">2026-01-06T01:18:35Z</dcterms:modified>
</cp:coreProperties>
</file>